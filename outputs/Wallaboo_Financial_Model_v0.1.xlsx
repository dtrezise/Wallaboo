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7819b3fee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7121bf0567e4824"/>
    <x:sheet xmlns:r="http://schemas.openxmlformats.org/officeDocument/2006/relationships" name="Assumptions" sheetId="2" r:id="R39aabec17994408f"/>
    <x:sheet xmlns:r="http://schemas.openxmlformats.org/officeDocument/2006/relationships" name="Unit Economics" sheetId="3" r:id="Rfbacb528139a4a5f"/>
    <x:sheet xmlns:r="http://schemas.openxmlformats.org/officeDocument/2006/relationships" name="Operating Model" sheetId="4" r:id="Rfdcf4c53a67e466d"/>
    <x:sheet xmlns:r="http://schemas.openxmlformats.org/officeDocument/2006/relationships" name="Scenario Summary" sheetId="5" r:id="R7ad12ea4ff3f454e"/>
    <x:sheet xmlns:r="http://schemas.openxmlformats.org/officeDocument/2006/relationships" name="Cash &amp; Funding" sheetId="6" r:id="R29bc7f75d73f42d1"/>
    <x:sheet xmlns:r="http://schemas.openxmlformats.org/officeDocument/2006/relationships" name="Checks" sheetId="7" r:id="Ra5a6efc5b1004dff"/>
    <x:sheet xmlns:r="http://schemas.openxmlformats.org/officeDocument/2006/relationships" name="Sources" sheetId="8" r:id="R1b003fd9b3af44d6"/>
  </x:sheets>
</x:workbook>
</file>

<file path=xl/comments1.xml><?xml version="1.0" encoding="utf-8"?>
<x:comments xmlns:x="http://schemas.openxmlformats.org/spreadsheetml/2006/main">
  <x:authors>
    <x:author>tc={6CD3BC30-CD20-3F08-C4CC-28D9EF81A5D0}</x:author>
    <x:author>tc={C3B776DD-EC86-452C-F296-B1167005292E}</x:author>
    <x:author>tc={030E6D17-FA12-ACA0-9679-FC89E78E7BD8}</x:author>
    <x:author>tc={33D26731-FE40-F0E5-D9C8-E61A24FD61A6}</x:author>
    <x:author>tc={F2CE237B-8AE1-C9DB-76F8-03F6624AF386}</x:author>
    <x:author>tc={DDEA6F04-1BFE-90D2-CD74-9493FF455A65}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Kickstarter official fee page | https://help.kickstarter.com/hc/en-us/articles/115005028634-What-are-the-fees | Accessed 2026-07-17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Kickstarter states payment processing is approximately 3%–5%; 4% is the planning midpoint | https://help.kickstarter.com/hc/en-us/articles/115005028634-What-are-the-fees | Accessed 2026-07-17</x:t>
        </x:r>
      </x:text>
    </x:comment>
    <x:comment ref="B1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Public retailer-direct terms commonly show about 50% of MSRP | https://www.level99games.com/pages/retail | Accessed 2026-07-17</x:t>
        </x:r>
      </x:text>
    </x:comment>
    <x:comment ref="B1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Public distributor terms commonly show net 40% of MSRP | https://greenfairystudios.com/about/terms-and-conditions/distributor-terms/ | Accessed 2026-07-17</x:t>
        </x:r>
      </x:text>
    </x:comment>
    <x:comment ref="B1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Panda Game Manufacturing states a 1,500-game MOQ | https://pandagm.com/our-process/ | Accessed 2026-07-17</x:t>
        </x:r>
      </x:text>
    </x:comment>
    <x:comment ref="C3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anchor: PrintNinja sample conventional board game was $10.60/unit at 1,000 copies and $14.28 at 500; base landed cost adds duty/receiving/quality contingency | https://printninja.com/sample-pricing/ | Accessed 2026-07-17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;[Red](&quot;$&quot;#,##0);-"/>
    <x:numFmt numFmtId="201" formatCode="#,##0;[Red](#,##0);-"/>
    <x:numFmt numFmtId="202" formatCode="0.0%;[Red](0.0%);-"/>
    <x:numFmt numFmtId="203" formatCode="&quot;$&quot;0.00;[Red](&quot;$&quot;0.00);-"/>
  </x:numFmts>
  <x:fonts count="2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4515C"/>
      <x:name val="Carlito"/>
    </x:font>
    <x:font>
      <x:b/>
      <x:sz val="11"/>
      <x:color rgb="FFFFFFFF"/>
      <x:name val="Carlito"/>
    </x:font>
    <x:font>
      <x:b/>
      <x:sz val="16"/>
      <x:color rgb="FF15324B"/>
      <x:name val="Carlito"/>
    </x:font>
    <x:font>
      <x:b/>
      <x:sz val="16"/>
      <x:color rgb="FF1E7A46"/>
      <x:name val="Carlito"/>
    </x:font>
    <x:font>
      <x:b/>
      <x:sz val="11"/>
      <x:color rgb="FF15324B"/>
      <x:name val="Carlito"/>
    </x:font>
    <x:font>
      <x:sz val="11"/>
      <x:color rgb="FF44515C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B42318"/>
      <x:name val="Carlito"/>
    </x:font>
    <x:font>
      <x:b/>
      <x:sz val="18"/>
      <x:color rgb="FFFFFFFF"/>
      <x:name val="Aptos"/>
    </x:font>
    <x:font>
      <x:i/>
      <x:sz val="11"/>
      <x:color rgb="FF44515C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5324B"/>
      <x:name val="Aptos"/>
    </x:font>
    <x:font>
      <x:b/>
      <x:sz val="16"/>
      <x:color rgb="FF15324B"/>
      <x:name val="Aptos"/>
    </x:font>
    <x:font>
      <x:b/>
      <x:sz val="16"/>
      <x:color rgb="FF1E7A46"/>
      <x:name val="Aptos"/>
    </x:font>
    <x:font>
      <x:sz val="11"/>
      <x:color rgb="FF44515C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sz val="11"/>
      <x:color rgb="FF000000"/>
      <x:name val="Aptos"/>
    </x:font>
    <x:font>
      <x:sz val="11"/>
      <x:color rgb="FFB42318"/>
      <x:name val="Aptos"/>
    </x:font>
    <x:font>
      <x:b/>
      <x:sz val="11"/>
      <x:color rgb="FF000000"/>
      <x:name val="Carlito"/>
    </x:font>
    <x:font>
      <x:b/>
      <x:sz val="11"/>
      <x:color rgb="FF000000"/>
      <x:name val="Aptos"/>
    </x:font>
    <x:font>
      <x:b/>
      <x:sz val="14"/>
      <x:color rgb="FF1E7A46"/>
      <x:name val="Carlito"/>
    </x:font>
    <x:font>
      <x:b/>
      <x:sz val="14"/>
      <x:color rgb="FF1E7A46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F3F5F7"/>
      </x:patternFill>
    </x:fill>
    <x:fill>
      <x:patternFill patternType="solid">
        <x:fgColor rgb="FF234E70"/>
      </x:patternFill>
    </x:fill>
    <x:fill>
      <x:patternFill patternType="solid">
        <x:fgColor rgb="FFFFF4D6"/>
      </x:patternFill>
    </x:fill>
    <x:fill>
      <x:patternFill patternType="solid">
        <x:fgColor rgb="FFE8F5F2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</x:fills>
  <x:borders count="30">
    <x:border/>
    <x:border>
      <x:left style="medium">
        <x:color rgb="FFD6A84B"/>
      </x:left>
      <x:top style="medium">
        <x:color rgb="FFD6A84B"/>
      </x:top>
    </x:border>
    <x:border>
      <x:right style="medium">
        <x:color rgb="FFD6A84B"/>
      </x:right>
      <x:top style="medium">
        <x:color rgb="FFD6A84B"/>
      </x:top>
    </x:border>
    <x:border>
      <x:left style="medium">
        <x:color rgb="FFD6A84B"/>
      </x:left>
      <x:bottom style="medium">
        <x:color rgb="FFD6A84B"/>
      </x:bottom>
    </x:border>
    <x:border>
      <x:right style="medium">
        <x:color rgb="FFD6A84B"/>
      </x:right>
      <x:bottom style="medium">
        <x:color rgb="FFD6A84B"/>
      </x:bottom>
    </x:border>
    <x:border>
      <x:left style="medium">
        <x:color rgb="FF2A7F75"/>
      </x:left>
      <x:top style="medium">
        <x:color rgb="FF2A7F75"/>
      </x:top>
    </x:border>
    <x:border>
      <x:right style="medium">
        <x:color rgb="FF2A7F75"/>
      </x:right>
      <x:top style="medium">
        <x:color rgb="FF2A7F75"/>
      </x:top>
    </x:border>
    <x:border>
      <x:left style="medium">
        <x:color rgb="FF2A7F75"/>
      </x:left>
      <x:bottom style="medium">
        <x:color rgb="FF2A7F75"/>
      </x:bottom>
    </x:border>
    <x:border>
      <x:right style="medium">
        <x:color rgb="FF2A7F75"/>
      </x:right>
      <x:bottom style="medium">
        <x:color rgb="FF2A7F75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  <x:border>
      <x:bottom style="thin">
        <x:color rgb="FFD4DCE3"/>
      </x:bottom>
    </x:border>
    <x:border>
      <x:left style="thin">
        <x:color rgb="FFD4DCE3"/>
      </x:left>
      <x:top style="thin">
        <x:color rgb="FFD4DCE3"/>
      </x:top>
    </x:border>
    <x:border>
      <x:top style="thin">
        <x:color rgb="FFD4DCE3"/>
      </x:top>
    </x:border>
    <x:border>
      <x:right style="thin">
        <x:color rgb="FFD4DCE3"/>
      </x:right>
      <x:top style="thin">
        <x:color rgb="FFD4DCE3"/>
      </x:top>
    </x:border>
    <x:border>
      <x:left style="thin">
        <x:color rgb="FFD4DCE3"/>
      </x:left>
    </x:border>
    <x:border>
      <x:right style="thin">
        <x:color rgb="FFD4DCE3"/>
      </x:right>
    </x:border>
    <x:border>
      <x:left style="thin">
        <x:color rgb="FFD4DCE3"/>
      </x:left>
      <x:bottom style="thin">
        <x:color rgb="FFD4DCE3"/>
      </x:bottom>
    </x:border>
    <x:border>
      <x:right style="thin">
        <x:color rgb="FFD4DCE3"/>
      </x:right>
      <x:bottom style="thin">
        <x:color rgb="FFD4DCE3"/>
      </x:bottom>
    </x:border>
    <x:border>
      <x:left style="thin">
        <x:color rgb="FFD6A84B"/>
      </x:left>
      <x:top style="thin">
        <x:color rgb="FFD6A84B"/>
      </x:top>
    </x:border>
    <x:border>
      <x:top style="thin">
        <x:color rgb="FFD6A84B"/>
      </x:top>
    </x:border>
    <x:border>
      <x:right style="thin">
        <x:color rgb="FFD6A84B"/>
      </x:right>
      <x:top style="thin">
        <x:color rgb="FFD6A84B"/>
      </x:top>
    </x:border>
    <x:border>
      <x:left style="thin">
        <x:color rgb="FFD6A84B"/>
      </x:left>
    </x:border>
    <x:border>
      <x:right style="thin">
        <x:color rgb="FFD6A84B"/>
      </x:right>
    </x:border>
    <x:border>
      <x:left style="thin">
        <x:color rgb="FFD6A84B"/>
      </x:left>
      <x:bottom style="thin">
        <x:color rgb="FFD6A84B"/>
      </x:bottom>
    </x:border>
    <x:border>
      <x:bottom style="thin">
        <x:color rgb="FFD6A84B"/>
      </x:bottom>
    </x:border>
    <x:border>
      <x:right style="thin">
        <x:color rgb="FFD6A84B"/>
      </x:right>
      <x:bottom style="thin">
        <x:color rgb="FFD6A84B"/>
      </x:bottom>
    </x:border>
    <x:border>
      <x:top style="thin">
        <x:color rgb="FF15324B"/>
      </x:top>
    </x:border>
    <x:border>
      <x:top style="thin">
        <x:color rgb="FF15324B"/>
      </x:top>
      <x:bottom style="thin">
        <x:color rgb="FFD4DCE3"/>
      </x:bottom>
    </x:border>
  </x:borders>
  <x:cellStyleXfs count="1">
    <x:xf numFmtId="0" fontId="0" fillId="0" borderId="0"/>
  </x:cellStyleXfs>
  <x:cellXfs count="3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200" fontId="0" fillId="0" borderId="12" xfId="0" applyNumberFormat="1" applyFont="1" applyFill="1" applyBorder="1" applyAlignment="1">
      <x:alignment horizontal="right"/>
    </x:xf>
    <x:xf numFmtId="0" fontId="7" fillId="3" borderId="0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16" xfId="0" applyNumberFormat="1" applyFont="1" applyFill="1" applyBorder="1"/>
    <x:xf numFmtId="0" fontId="7" fillId="3" borderId="17" xfId="0" applyNumberFormat="1" applyFont="1" applyFill="1" applyBorder="1"/>
    <x:xf numFmtId="0" fontId="7" fillId="3" borderId="18" xfId="0" applyNumberFormat="1" applyFont="1" applyFill="1" applyBorder="1"/>
    <x:xf numFmtId="0" fontId="7" fillId="3" borderId="12" xfId="0" applyNumberFormat="1" applyFont="1" applyFill="1" applyBorder="1"/>
    <x:xf numFmtId="0" fontId="7" fillId="3" borderId="19" xfId="0" applyNumberFormat="1" applyFont="1" applyFill="1" applyBorder="1"/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7" fillId="3" borderId="15" xfId="0" applyNumberFormat="1" applyFont="1" applyFill="1" applyBorder="1" applyAlignment="1">
      <x:alignment wrapText="1"/>
    </x:xf>
    <x:xf numFmtId="0" fontId="7" fillId="3" borderId="16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7" xfId="0" applyNumberFormat="1" applyFont="1" applyFill="1" applyBorder="1" applyAlignment="1">
      <x:alignment wrapText="1"/>
    </x:xf>
    <x:xf numFmtId="0" fontId="7" fillId="3" borderId="18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19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vertical="top" wrapText="1"/>
    </x:xf>
    <x:xf numFmtId="0" fontId="7" fillId="3" borderId="14" xfId="0" applyNumberFormat="1" applyFont="1" applyFill="1" applyBorder="1" applyAlignment="1">
      <x:alignment vertical="top" wrapText="1"/>
    </x:xf>
    <x:xf numFmtId="0" fontId="7" fillId="3" borderId="15" xfId="0" applyNumberFormat="1" applyFont="1" applyFill="1" applyBorder="1" applyAlignment="1">
      <x:alignment vertical="top" wrapText="1"/>
    </x:xf>
    <x:xf numFmtId="0" fontId="7" fillId="3" borderId="1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7" xfId="0" applyNumberFormat="1" applyFont="1" applyFill="1" applyBorder="1" applyAlignment="1">
      <x:alignment vertical="top" wrapText="1"/>
    </x:xf>
    <x:xf numFmtId="0" fontId="7" fillId="3" borderId="18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19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6" fillId="5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6" fillId="5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0" xfId="0" applyNumberFormat="1" applyFont="1" applyFill="1" applyBorder="1" applyAlignment="1">
      <x:alignment wrapText="1"/>
    </x:xf>
    <x:xf numFmtId="0" fontId="6" fillId="5" borderId="21" xfId="0" applyNumberFormat="1" applyFont="1" applyFill="1" applyBorder="1" applyAlignment="1">
      <x:alignment wrapText="1"/>
    </x:xf>
    <x:xf numFmtId="0" fontId="6" fillId="5" borderId="22" xfId="0" applyNumberFormat="1" applyFont="1" applyFill="1" applyBorder="1" applyAlignment="1">
      <x:alignment wrapText="1"/>
    </x:xf>
    <x:xf numFmtId="0" fontId="6" fillId="5" borderId="23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24" xfId="0" applyNumberFormat="1" applyFont="1" applyFill="1" applyBorder="1" applyAlignment="1">
      <x:alignment wrapText="1"/>
    </x:xf>
    <x:xf numFmtId="0" fontId="6" fillId="5" borderId="25" xfId="0" applyNumberFormat="1" applyFont="1" applyFill="1" applyBorder="1" applyAlignment="1">
      <x:alignment wrapText="1"/>
    </x:xf>
    <x:xf numFmtId="0" fontId="6" fillId="5" borderId="26" xfId="0" applyNumberFormat="1" applyFont="1" applyFill="1" applyBorder="1" applyAlignment="1">
      <x:alignment wrapText="1"/>
    </x:xf>
    <x:xf numFmtId="0" fontId="6" fillId="5" borderId="27" xfId="0" applyNumberFormat="1" applyFont="1" applyFill="1" applyBorder="1" applyAlignment="1">
      <x:alignment wrapText="1"/>
    </x:xf>
    <x:xf numFmtId="0" fontId="6" fillId="5" borderId="20" xfId="0" applyNumberFormat="1" applyFont="1" applyFill="1" applyBorder="1" applyAlignment="1">
      <x:alignment vertical="center" wrapText="1"/>
    </x:xf>
    <x:xf numFmtId="0" fontId="6" fillId="5" borderId="21" xfId="0" applyNumberFormat="1" applyFont="1" applyFill="1" applyBorder="1" applyAlignment="1">
      <x:alignment vertical="center" wrapText="1"/>
    </x:xf>
    <x:xf numFmtId="0" fontId="6" fillId="5" borderId="22" xfId="0" applyNumberFormat="1" applyFont="1" applyFill="1" applyBorder="1" applyAlignment="1">
      <x:alignment vertical="center" wrapText="1"/>
    </x:xf>
    <x:xf numFmtId="0" fontId="6" fillId="5" borderId="2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24" xfId="0" applyNumberFormat="1" applyFont="1" applyFill="1" applyBorder="1" applyAlignment="1">
      <x:alignment vertical="center" wrapText="1"/>
    </x:xf>
    <x:xf numFmtId="0" fontId="6" fillId="5" borderId="25" xfId="0" applyNumberFormat="1" applyFont="1" applyFill="1" applyBorder="1" applyAlignment="1">
      <x:alignment vertical="center" wrapText="1"/>
    </x:xf>
    <x:xf numFmtId="0" fontId="6" fillId="5" borderId="26" xfId="0" applyNumberFormat="1" applyFont="1" applyFill="1" applyBorder="1" applyAlignment="1">
      <x:alignment vertical="center" wrapText="1"/>
    </x:xf>
    <x:xf numFmtId="0" fontId="6" fillId="5" borderId="27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/>
    <x:xf numFmtId="0" fontId="14" fillId="0" borderId="0" xfId="0" applyNumberFormat="1" applyFont="1" applyFill="1" applyBorder="1"/>
    <x:xf numFmtId="0" fontId="15" fillId="4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0" fontId="17" fillId="5" borderId="1" xfId="0" applyNumberFormat="1" applyFont="1" applyFill="1" applyBorder="1" applyAlignment="1">
      <x:alignment horizontal="center" vertical="center"/>
    </x:xf>
    <x:xf numFmtId="0" fontId="17" fillId="5" borderId="2" xfId="0" applyNumberFormat="1" applyFont="1" applyFill="1" applyBorder="1" applyAlignment="1">
      <x:alignment horizontal="center" vertical="center"/>
    </x:xf>
    <x:xf numFmtId="0" fontId="18" fillId="6" borderId="5" xfId="0" applyNumberFormat="1" applyFont="1" applyFill="1" applyBorder="1" applyAlignment="1">
      <x:alignment horizontal="center" vertical="center"/>
    </x:xf>
    <x:xf numFmtId="0" fontId="18" fillId="6" borderId="6" xfId="0" applyNumberFormat="1" applyFont="1" applyFill="1" applyBorder="1" applyAlignment="1">
      <x:alignment horizontal="center" vertical="center"/>
    </x:xf>
    <x:xf numFmtId="0" fontId="17" fillId="5" borderId="3" xfId="0" applyNumberFormat="1" applyFont="1" applyFill="1" applyBorder="1" applyAlignment="1">
      <x:alignment horizontal="center" vertical="center"/>
    </x:xf>
    <x:xf numFmtId="0" fontId="17" fillId="5" borderId="4" xfId="0" applyNumberFormat="1" applyFont="1" applyFill="1" applyBorder="1" applyAlignment="1">
      <x:alignment horizontal="center" vertical="center"/>
    </x:xf>
    <x:xf numFmtId="0" fontId="18" fillId="6" borderId="7" xfId="0" applyNumberFormat="1" applyFont="1" applyFill="1" applyBorder="1" applyAlignment="1">
      <x:alignment horizontal="center" vertical="center"/>
    </x:xf>
    <x:xf numFmtId="0" fontId="18" fillId="6" borderId="8" xfId="0" applyNumberFormat="1" applyFont="1" applyFill="1" applyBorder="1" applyAlignment="1">
      <x:alignment horizontal="center" vertical="center"/>
    </x:xf>
    <x:xf numFmtId="0" fontId="15" fillId="2" borderId="9" xfId="0" applyNumberFormat="1" applyFont="1" applyFill="1" applyBorder="1" applyAlignment="1">
      <x:alignment horizontal="center" vertical="center" wrapText="1"/>
    </x:xf>
    <x:xf numFmtId="0" fontId="15" fillId="2" borderId="10" xfId="0" applyNumberFormat="1" applyFont="1" applyFill="1" applyBorder="1" applyAlignment="1">
      <x:alignment horizontal="center" vertical="center" wrapText="1"/>
    </x:xf>
    <x:xf numFmtId="0" fontId="15" fillId="2" borderId="11" xfId="0" applyNumberFormat="1" applyFont="1" applyFill="1" applyBorder="1" applyAlignment="1">
      <x:alignment horizontal="center" vertical="center" wrapText="1"/>
    </x:xf>
    <x:xf numFmtId="200" fontId="14" fillId="0" borderId="0" xfId="0" applyNumberFormat="1" applyFont="1" applyFill="1" applyBorder="1" applyAlignment="1">
      <x:alignment horizontal="right"/>
    </x:xf>
    <x:xf numFmtId="201" fontId="14" fillId="0" borderId="0" xfId="0" applyNumberFormat="1" applyFont="1" applyFill="1" applyBorder="1" applyAlignment="1">
      <x:alignment horizontal="right"/>
    </x:xf>
    <x:xf numFmtId="0" fontId="14" fillId="0" borderId="12" xfId="0" applyNumberFormat="1" applyFont="1" applyFill="1" applyBorder="1"/>
    <x:xf numFmtId="200" fontId="14" fillId="0" borderId="12" xfId="0" applyNumberFormat="1" applyFont="1" applyFill="1" applyBorder="1" applyAlignment="1">
      <x:alignment horizontal="right"/>
    </x:xf>
    <x:xf numFmtId="0" fontId="19" fillId="3" borderId="13" xfId="0" applyNumberFormat="1" applyFont="1" applyFill="1" applyBorder="1" applyAlignment="1">
      <x:alignment vertical="top" wrapText="1"/>
    </x:xf>
    <x:xf numFmtId="0" fontId="19" fillId="3" borderId="14" xfId="0" applyNumberFormat="1" applyFont="1" applyFill="1" applyBorder="1" applyAlignment="1">
      <x:alignment vertical="top" wrapText="1"/>
    </x:xf>
    <x:xf numFmtId="0" fontId="19" fillId="3" borderId="15" xfId="0" applyNumberFormat="1" applyFont="1" applyFill="1" applyBorder="1" applyAlignment="1">
      <x:alignment vertical="top" wrapText="1"/>
    </x:xf>
    <x:xf numFmtId="0" fontId="19" fillId="3" borderId="16" xfId="0" applyNumberFormat="1" applyFont="1" applyFill="1" applyBorder="1" applyAlignment="1">
      <x:alignment vertical="top" wrapText="1"/>
    </x:xf>
    <x:xf numFmtId="0" fontId="19" fillId="3" borderId="0" xfId="0" applyNumberFormat="1" applyFont="1" applyFill="1" applyBorder="1" applyAlignment="1">
      <x:alignment vertical="top" wrapText="1"/>
    </x:xf>
    <x:xf numFmtId="0" fontId="19" fillId="3" borderId="17" xfId="0" applyNumberFormat="1" applyFont="1" applyFill="1" applyBorder="1" applyAlignment="1">
      <x:alignment vertical="top" wrapText="1"/>
    </x:xf>
    <x:xf numFmtId="0" fontId="19" fillId="3" borderId="18" xfId="0" applyNumberFormat="1" applyFont="1" applyFill="1" applyBorder="1" applyAlignment="1">
      <x:alignment vertical="top" wrapText="1"/>
    </x:xf>
    <x:xf numFmtId="0" fontId="19" fillId="3" borderId="12" xfId="0" applyNumberFormat="1" applyFont="1" applyFill="1" applyBorder="1" applyAlignment="1">
      <x:alignment vertical="top" wrapText="1"/>
    </x:xf>
    <x:xf numFmtId="0" fontId="19" fillId="3" borderId="19" xfId="0" applyNumberFormat="1" applyFont="1" applyFill="1" applyBorder="1" applyAlignment="1">
      <x:alignment vertical="top" wrapText="1"/>
    </x:xf>
    <x:xf numFmtId="0" fontId="20" fillId="5" borderId="0" xfId="0" applyNumberFormat="1" applyFont="1" applyFill="1" applyBorder="1"/>
    <x:xf numFmtId="0" fontId="21" fillId="8" borderId="0" xfId="0" applyNumberFormat="1" applyFont="1" applyFill="1" applyBorder="1"/>
    <x:xf numFmtId="0" fontId="22" fillId="8" borderId="0" xfId="0" applyNumberFormat="1" applyFont="1" applyFill="1" applyBorder="1"/>
    <x:xf numFmtId="0" fontId="23" fillId="9" borderId="0" xfId="0" applyNumberFormat="1" applyFont="1" applyFill="1" applyBorder="1"/>
    <x:xf numFmtId="0" fontId="16" fillId="5" borderId="20" xfId="0" applyNumberFormat="1" applyFont="1" applyFill="1" applyBorder="1" applyAlignment="1">
      <x:alignment vertical="center" wrapText="1"/>
    </x:xf>
    <x:xf numFmtId="0" fontId="16" fillId="5" borderId="21" xfId="0" applyNumberFormat="1" applyFont="1" applyFill="1" applyBorder="1" applyAlignment="1">
      <x:alignment vertical="center" wrapText="1"/>
    </x:xf>
    <x:xf numFmtId="0" fontId="16" fillId="5" borderId="22" xfId="0" applyNumberFormat="1" applyFont="1" applyFill="1" applyBorder="1" applyAlignment="1">
      <x:alignment vertical="center" wrapText="1"/>
    </x:xf>
    <x:xf numFmtId="0" fontId="16" fillId="5" borderId="23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24" xfId="0" applyNumberFormat="1" applyFont="1" applyFill="1" applyBorder="1" applyAlignment="1">
      <x:alignment vertical="center" wrapText="1"/>
    </x:xf>
    <x:xf numFmtId="0" fontId="16" fillId="5" borderId="25" xfId="0" applyNumberFormat="1" applyFont="1" applyFill="1" applyBorder="1" applyAlignment="1">
      <x:alignment vertical="center" wrapText="1"/>
    </x:xf>
    <x:xf numFmtId="0" fontId="16" fillId="5" borderId="26" xfId="0" applyNumberFormat="1" applyFont="1" applyFill="1" applyBorder="1" applyAlignment="1">
      <x:alignment vertical="center" wrapText="1"/>
    </x:xf>
    <x:xf numFmtId="0" fontId="16" fillId="5" borderId="27" xfId="0" applyNumberFormat="1" applyFont="1" applyFill="1" applyBorder="1" applyAlignment="1">
      <x:alignment vertical="center" wrapText="1"/>
    </x:xf>
    <x:xf numFmtId="202" fontId="8" fillId="5" borderId="0" xfId="0" applyNumberFormat="1" applyFont="1" applyFill="1" applyBorder="1"/>
    <x:xf numFmtId="202" fontId="8" fillId="5" borderId="0" xfId="0" applyNumberFormat="1" applyFont="1" applyFill="1" applyBorder="1" applyAlignment="1">
      <x:alignment horizontal="right"/>
    </x:xf>
    <x:xf numFmtId="203" fontId="8" fillId="5" borderId="0" xfId="0" applyNumberFormat="1" applyFont="1" applyFill="1" applyBorder="1"/>
    <x:xf numFmtId="203" fontId="8" fillId="5" borderId="0" xfId="0" applyNumberFormat="1" applyFont="1" applyFill="1" applyBorder="1" applyAlignment="1">
      <x:alignment horizontal="right"/>
    </x:xf>
    <x:xf numFmtId="200" fontId="8" fillId="5" borderId="0" xfId="0" applyNumberFormat="1" applyFont="1" applyFill="1" applyBorder="1"/>
    <x:xf numFmtId="200" fontId="8" fillId="5" borderId="0" xfId="0" applyNumberFormat="1" applyFont="1" applyFill="1" applyBorder="1" applyAlignment="1">
      <x:alignment horizontal="right"/>
    </x:xf>
    <x:xf numFmtId="201" fontId="8" fillId="5" borderId="0" xfId="0" applyNumberFormat="1" applyFont="1" applyFill="1" applyBorder="1"/>
    <x:xf numFmtId="201" fontId="8" fillId="5" borderId="0" xfId="0" applyNumberFormat="1" applyFont="1" applyFill="1" applyBorder="1" applyAlignment="1">
      <x:alignment horizontal="right"/>
    </x:xf>
    <x:xf numFmtId="200" fontId="8" fillId="5" borderId="12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2" fontId="20" fillId="5" borderId="0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 applyAlignment="1">
      <x:alignment wrapText="1"/>
    </x:xf>
    <x:xf numFmtId="203" fontId="20" fillId="5" borderId="0" xfId="0" applyNumberFormat="1" applyFont="1" applyFill="1" applyBorder="1" applyAlignment="1">
      <x:alignment horizontal="right"/>
    </x:xf>
    <x:xf numFmtId="200" fontId="20" fillId="5" borderId="0" xfId="0" applyNumberFormat="1" applyFont="1" applyFill="1" applyBorder="1" applyAlignment="1">
      <x:alignment horizontal="right"/>
    </x:xf>
    <x:xf numFmtId="201" fontId="20" fillId="5" borderId="0" xfId="0" applyNumberFormat="1" applyFont="1" applyFill="1" applyBorder="1" applyAlignment="1">
      <x:alignment horizontal="right"/>
    </x:xf>
    <x:xf numFmtId="200" fontId="20" fillId="5" borderId="12" xfId="0" applyNumberFormat="1" applyFont="1" applyFill="1" applyBorder="1" applyAlignment="1">
      <x:alignment horizontal="right"/>
    </x:xf>
    <x:xf numFmtId="0" fontId="14" fillId="0" borderId="12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3" fontId="9" fillId="0" borderId="0" xfId="0" applyNumberFormat="1" applyFont="1" applyFill="1" applyBorder="1"/>
    <x:xf numFmtId="203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0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right"/>
    </x:xf>
    <x:xf numFmtId="200" fontId="6" fillId="7" borderId="0" xfId="0" applyNumberFormat="1" applyFont="1" applyFill="1" applyBorder="1" applyAlignment="1">
      <x:alignment horizontal="right"/>
    </x:xf>
    <x:xf numFmtId="0" fontId="6" fillId="7" borderId="12" xfId="0" applyNumberFormat="1" applyFont="1" applyFill="1" applyBorder="1"/>
    <x:xf numFmtId="200" fontId="6" fillId="7" borderId="12" xfId="0" applyNumberFormat="1" applyFont="1" applyFill="1" applyBorder="1" applyAlignment="1">
      <x:alignment horizontal="right"/>
    </x:xf>
    <x:xf numFmtId="0" fontId="0" fillId="0" borderId="28" xfId="0" applyNumberFormat="1" applyFont="1" applyFill="1" applyBorder="1"/>
    <x:xf numFmtId="200" fontId="0" fillId="0" borderId="28" xfId="0" applyNumberFormat="1" applyFont="1" applyFill="1" applyBorder="1" applyAlignment="1">
      <x:alignment horizontal="right"/>
    </x:xf>
    <x:xf numFmtId="0" fontId="24" fillId="0" borderId="28" xfId="0" applyNumberFormat="1" applyFont="1" applyFill="1" applyBorder="1"/>
    <x:xf numFmtId="200" fontId="24" fillId="0" borderId="28" xfId="0" applyNumberFormat="1" applyFont="1" applyFill="1" applyBorder="1" applyAlignment="1">
      <x:alignment horizontal="right"/>
    </x:xf>
    <x:xf numFmtId="0" fontId="24" fillId="0" borderId="0" xfId="0" applyNumberFormat="1" applyFont="1" applyFill="1" applyBorder="1"/>
    <x:xf numFmtId="202" fontId="24" fillId="0" borderId="0" xfId="0" applyNumberFormat="1" applyFont="1" applyFill="1" applyBorder="1" applyAlignment="1">
      <x:alignment horizontal="right"/>
    </x:xf>
    <x:xf numFmtId="200" fontId="24" fillId="0" borderId="0" xfId="0" applyNumberFormat="1" applyFont="1" applyFill="1" applyBorder="1" applyAlignment="1">
      <x:alignment horizontal="right"/>
    </x:xf>
    <x:xf numFmtId="0" fontId="24" fillId="0" borderId="12" xfId="0" applyNumberFormat="1" applyFont="1" applyFill="1" applyBorder="1"/>
    <x:xf numFmtId="200" fontId="24" fillId="0" borderId="12" xfId="0" applyNumberFormat="1" applyFont="1" applyFill="1" applyBorder="1" applyAlignment="1">
      <x:alignment horizontal="right"/>
    </x:xf>
    <x:xf numFmtId="201" fontId="21" fillId="0" borderId="0" xfId="0" applyNumberFormat="1" applyFont="1" applyFill="1" applyBorder="1" applyAlignment="1">
      <x:alignment horizontal="right"/>
    </x:xf>
    <x:xf numFmtId="203" fontId="21" fillId="0" borderId="0" xfId="0" applyNumberFormat="1" applyFont="1" applyFill="1" applyBorder="1" applyAlignment="1">
      <x:alignment horizontal="right"/>
    </x:xf>
    <x:xf numFmtId="202" fontId="21" fillId="0" borderId="0" xfId="0" applyNumberFormat="1" applyFont="1" applyFill="1" applyBorder="1" applyAlignment="1">
      <x:alignment horizontal="right"/>
    </x:xf>
    <x:xf numFmtId="202" fontId="14" fillId="0" borderId="0" xfId="0" applyNumberFormat="1" applyFont="1" applyFill="1" applyBorder="1" applyAlignment="1">
      <x:alignment horizontal="right"/>
    </x:xf>
    <x:xf numFmtId="0" fontId="16" fillId="7" borderId="12" xfId="0" applyNumberFormat="1" applyFont="1" applyFill="1" applyBorder="1"/>
    <x:xf numFmtId="200" fontId="16" fillId="7" borderId="12" xfId="0" applyNumberFormat="1" applyFont="1" applyFill="1" applyBorder="1" applyAlignment="1">
      <x:alignment horizontal="right"/>
    </x:xf>
    <x:xf numFmtId="0" fontId="25" fillId="0" borderId="28" xfId="0" applyNumberFormat="1" applyFont="1" applyFill="1" applyBorder="1"/>
    <x:xf numFmtId="200" fontId="25" fillId="0" borderId="28" xfId="0" applyNumberFormat="1" applyFont="1" applyFill="1" applyBorder="1" applyAlignment="1">
      <x:alignment horizontal="right"/>
    </x:xf>
    <x:xf numFmtId="0" fontId="25" fillId="0" borderId="0" xfId="0" applyNumberFormat="1" applyFont="1" applyFill="1" applyBorder="1"/>
    <x:xf numFmtId="202" fontId="25" fillId="0" borderId="0" xfId="0" applyNumberFormat="1" applyFont="1" applyFill="1" applyBorder="1" applyAlignment="1">
      <x:alignment horizontal="right"/>
    </x:xf>
    <x:xf numFmtId="200" fontId="21" fillId="0" borderId="0" xfId="0" applyNumberFormat="1" applyFont="1" applyFill="1" applyBorder="1" applyAlignment="1">
      <x:alignment horizontal="right"/>
    </x:xf>
    <x:xf numFmtId="200" fontId="25" fillId="0" borderId="0" xfId="0" applyNumberFormat="1" applyFont="1" applyFill="1" applyBorder="1" applyAlignment="1">
      <x:alignment horizontal="right"/>
    </x:xf>
    <x:xf numFmtId="0" fontId="25" fillId="0" borderId="12" xfId="0" applyNumberFormat="1" applyFont="1" applyFill="1" applyBorder="1"/>
    <x:xf numFmtId="200" fontId="25" fillId="0" borderId="12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right"/>
    </x:xf>
    <x:xf numFmtId="203" fontId="0" fillId="0" borderId="12" xfId="0" applyNumberFormat="1" applyFont="1" applyFill="1" applyBorder="1" applyAlignment="1">
      <x:alignment horizontal="right"/>
    </x:xf>
    <x:xf numFmtId="202" fontId="0" fillId="0" borderId="12" xfId="0" applyNumberFormat="1" applyFont="1" applyFill="1" applyBorder="1" applyAlignment="1">
      <x:alignment horizontal="right"/>
    </x:xf>
    <x:xf numFmtId="0" fontId="0" fillId="0" borderId="29" xfId="0" applyNumberFormat="1" applyFont="1" applyFill="1" applyBorder="1"/>
    <x:xf numFmtId="203" fontId="0" fillId="0" borderId="29" xfId="0" applyNumberFormat="1" applyFont="1" applyFill="1" applyBorder="1" applyAlignment="1">
      <x:alignment horizontal="right"/>
    </x:xf>
    <x:xf numFmtId="202" fontId="0" fillId="0" borderId="29" xfId="0" applyNumberFormat="1" applyFont="1" applyFill="1" applyBorder="1" applyAlignment="1">
      <x:alignment horizontal="right"/>
    </x:xf>
    <x:xf numFmtId="0" fontId="24" fillId="0" borderId="29" xfId="0" applyNumberFormat="1" applyFont="1" applyFill="1" applyBorder="1"/>
    <x:xf numFmtId="203" fontId="24" fillId="0" borderId="29" xfId="0" applyNumberFormat="1" applyFont="1" applyFill="1" applyBorder="1" applyAlignment="1">
      <x:alignment horizontal="right"/>
    </x:xf>
    <x:xf numFmtId="202" fontId="24" fillId="0" borderId="29" xfId="0" applyNumberFormat="1" applyFont="1" applyFill="1" applyBorder="1" applyAlignment="1">
      <x:alignment horizontal="right"/>
    </x:xf>
    <x:xf numFmtId="201" fontId="0" fillId="0" borderId="12" xfId="0" applyNumberFormat="1" applyFont="1" applyFill="1" applyBorder="1" applyAlignment="1">
      <x:alignment horizontal="right"/>
    </x:xf>
    <x:xf numFmtId="203" fontId="14" fillId="0" borderId="0" xfId="0" applyNumberFormat="1" applyFont="1" applyFill="1" applyBorder="1" applyAlignment="1">
      <x:alignment horizontal="right"/>
    </x:xf>
    <x:xf numFmtId="0" fontId="25" fillId="0" borderId="29" xfId="0" applyNumberFormat="1" applyFont="1" applyFill="1" applyBorder="1"/>
    <x:xf numFmtId="203" fontId="25" fillId="0" borderId="29" xfId="0" applyNumberFormat="1" applyFont="1" applyFill="1" applyBorder="1" applyAlignment="1">
      <x:alignment horizontal="right"/>
    </x:xf>
    <x:xf numFmtId="202" fontId="25" fillId="0" borderId="29" xfId="0" applyNumberFormat="1" applyFont="1" applyFill="1" applyBorder="1" applyAlignment="1">
      <x:alignment horizontal="right"/>
    </x:xf>
    <x:xf numFmtId="201" fontId="14" fillId="0" borderId="12" xfId="0" applyNumberFormat="1" applyFont="1" applyFill="1" applyBorder="1" applyAlignment="1">
      <x:alignment horizontal="right"/>
    </x:xf>
    <x:xf numFmtId="200" fontId="0" fillId="6" borderId="0" xfId="0" applyNumberFormat="1" applyFont="1" applyFill="1" applyBorder="1" applyAlignment="1">
      <x:alignment horizontal="right"/>
    </x:xf>
    <x:xf numFmtId="201" fontId="0" fillId="6" borderId="0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/>
    <x:xf numFmtId="200" fontId="6" fillId="6" borderId="0" xfId="0" applyNumberFormat="1" applyFont="1" applyFill="1" applyBorder="1" applyAlignment="1">
      <x:alignment horizontal="right"/>
    </x:xf>
    <x:xf numFmtId="201" fontId="6" fillId="6" borderId="0" xfId="0" applyNumberFormat="1" applyFont="1" applyFill="1" applyBorder="1" applyAlignment="1">
      <x:alignment horizontal="right"/>
    </x:xf>
    <x:xf numFmtId="0" fontId="16" fillId="6" borderId="0" xfId="0" applyNumberFormat="1" applyFont="1" applyFill="1" applyBorder="1"/>
    <x:xf numFmtId="200" fontId="16" fillId="6" borderId="0" xfId="0" applyNumberFormat="1" applyFont="1" applyFill="1" applyBorder="1" applyAlignment="1">
      <x:alignment horizontal="right"/>
    </x:xf>
    <x:xf numFmtId="201" fontId="16" fillId="6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horizontal="right"/>
    </x:xf>
    <x:xf numFmtId="0" fontId="13" fillId="3" borderId="0" xfId="0" applyNumberFormat="1" applyFont="1" applyFill="1" applyBorder="1" applyAlignment="1">
      <x:alignment wrapText="1"/>
    </x:xf>
    <x:xf numFmtId="0" fontId="26" fillId="6" borderId="0" xfId="0" applyNumberFormat="1" applyFont="1" applyFill="1" applyBorder="1"/>
    <x:xf numFmtId="0" fontId="26" fillId="6" borderId="0" xfId="0" applyNumberFormat="1" applyFont="1" applyFill="1" applyBorder="1" applyAlignment="1">
      <x:alignment horizontal="center"/>
    </x:xf>
    <x:xf numFmtId="0" fontId="27" fillId="6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right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horizontal="right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horizontal="right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right" wrapText="1"/>
    </x:xf>
    <x:xf numFmtId="200" fontId="14" fillId="0" borderId="0" xfId="0" applyNumberFormat="1" applyFont="1" applyFill="1" applyBorder="1" applyAlignment="1">
      <x:alignment horizontal="right" wrapText="1"/>
    </x:xf>
    <x:xf numFmtId="202" fontId="14" fillId="0" borderId="0" xfId="0" applyNumberFormat="1" applyFont="1" applyFill="1" applyBorder="1" applyAlignment="1">
      <x:alignment horizontal="right" wrapText="1"/>
    </x:xf>
    <x:xf numFmtId="203" fontId="14" fillId="0" borderId="0" xfId="0" applyNumberFormat="1" applyFont="1" applyFill="1" applyBorder="1" applyAlignment="1">
      <x:alignment horizontal="right" wrapText="1"/>
    </x:xf>
    <x:xf numFmtId="201" fontId="14" fillId="0" borderId="0" xfId="0" applyNumberFormat="1" applyFont="1" applyFill="1" applyBorder="1" applyAlignment="1">
      <x:alignment horizontal="right" wrapText="1"/>
    </x:xf>
    <x:xf numFmtId="0" fontId="13" fillId="3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horizontal="right" vertical="center"/>
    </x:xf>
    <x:xf numFmtId="201" fontId="14" fillId="0" borderId="0" xfId="0" applyNumberFormat="1" applyFont="1" applyFill="1" applyBorder="1" applyAlignment="1">
      <x:alignment horizontal="right" vertical="center"/>
    </x:xf>
    <x:xf numFmtId="0" fontId="14" fillId="0" borderId="12" xfId="0" applyNumberFormat="1" applyFont="1" applyFill="1" applyBorder="1" applyAlignment="1">
      <x:alignment vertical="center"/>
    </x:xf>
    <x:xf numFmtId="200" fontId="14" fillId="0" borderId="12" xfId="0" applyNumberFormat="1" applyFont="1" applyFill="1" applyBorder="1" applyAlignment="1">
      <x:alignment horizontal="right" vertical="center"/>
    </x:xf>
    <x:xf numFmtId="0" fontId="19" fillId="3" borderId="13" xfId="0" applyNumberFormat="1" applyFont="1" applyFill="1" applyBorder="1" applyAlignment="1">
      <x:alignment vertical="center" wrapText="1"/>
    </x:xf>
    <x:xf numFmtId="0" fontId="19" fillId="3" borderId="14" xfId="0" applyNumberFormat="1" applyFont="1" applyFill="1" applyBorder="1" applyAlignment="1">
      <x:alignment vertical="center" wrapText="1"/>
    </x:xf>
    <x:xf numFmtId="0" fontId="19" fillId="3" borderId="15" xfId="0" applyNumberFormat="1" applyFont="1" applyFill="1" applyBorder="1" applyAlignment="1">
      <x:alignment vertical="center" wrapText="1"/>
    </x:xf>
    <x:xf numFmtId="0" fontId="19" fillId="3" borderId="16" xfId="0" applyNumberFormat="1" applyFont="1" applyFill="1" applyBorder="1" applyAlignment="1">
      <x:alignment vertical="center" wrapText="1"/>
    </x:xf>
    <x:xf numFmtId="0" fontId="19" fillId="3" borderId="0" xfId="0" applyNumberFormat="1" applyFont="1" applyFill="1" applyBorder="1" applyAlignment="1">
      <x:alignment vertical="center" wrapText="1"/>
    </x:xf>
    <x:xf numFmtId="0" fontId="19" fillId="3" borderId="17" xfId="0" applyNumberFormat="1" applyFont="1" applyFill="1" applyBorder="1" applyAlignment="1">
      <x:alignment vertical="center" wrapText="1"/>
    </x:xf>
    <x:xf numFmtId="0" fontId="19" fillId="3" borderId="18" xfId="0" applyNumberFormat="1" applyFont="1" applyFill="1" applyBorder="1" applyAlignment="1">
      <x:alignment vertical="center" wrapText="1"/>
    </x:xf>
    <x:xf numFmtId="0" fontId="19" fillId="3" borderId="12" xfId="0" applyNumberFormat="1" applyFont="1" applyFill="1" applyBorder="1" applyAlignment="1">
      <x:alignment vertical="center" wrapText="1"/>
    </x:xf>
    <x:xf numFmtId="0" fontId="19" fillId="3" borderId="19" xfId="0" applyNumberFormat="1" applyFont="1" applyFill="1" applyBorder="1" applyAlignment="1">
      <x:alignment vertical="center" wrapText="1"/>
    </x:xf>
    <x:xf numFmtId="0" fontId="20" fillId="5" borderId="0" xfId="0" applyNumberFormat="1" applyFont="1" applyFill="1" applyBorder="1" applyAlignment="1">
      <x:alignment vertical="center"/>
    </x:xf>
    <x:xf numFmtId="0" fontId="21" fillId="8" borderId="0" xfId="0" applyNumberFormat="1" applyFont="1" applyFill="1" applyBorder="1" applyAlignment="1">
      <x:alignment vertical="center"/>
    </x:xf>
    <x:xf numFmtId="0" fontId="22" fillId="8" borderId="0" xfId="0" applyNumberFormat="1" applyFont="1" applyFill="1" applyBorder="1" applyAlignment="1">
      <x:alignment vertical="center"/>
    </x:xf>
    <x:xf numFmtId="0" fontId="23" fillId="9" borderId="0" xfId="0" applyNumberFormat="1" applyFont="1" applyFill="1" applyBorder="1" applyAlignment="1">
      <x:alignment vertical="center"/>
    </x:xf>
    <x:xf numFmtId="202" fontId="20" fillId="5" borderId="0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vertical="center" wrapText="1"/>
    </x:xf>
    <x:xf numFmtId="203" fontId="20" fillId="5" borderId="0" xfId="0" applyNumberFormat="1" applyFont="1" applyFill="1" applyBorder="1" applyAlignment="1">
      <x:alignment horizontal="right" vertical="center"/>
    </x:xf>
    <x:xf numFmtId="200" fontId="20" fillId="5" borderId="0" xfId="0" applyNumberFormat="1" applyFont="1" applyFill="1" applyBorder="1" applyAlignment="1">
      <x:alignment horizontal="right" vertical="center"/>
    </x:xf>
    <x:xf numFmtId="201" fontId="20" fillId="5" borderId="0" xfId="0" applyNumberFormat="1" applyFont="1" applyFill="1" applyBorder="1" applyAlignment="1">
      <x:alignment horizontal="right" vertical="center"/>
    </x:xf>
    <x:xf numFmtId="200" fontId="20" fillId="5" borderId="12" xfId="0" applyNumberFormat="1" applyFont="1" applyFill="1" applyBorder="1" applyAlignment="1">
      <x:alignment horizontal="right" vertical="center"/>
    </x:xf>
    <x:xf numFmtId="0" fontId="14" fillId="0" borderId="12" xfId="0" applyNumberFormat="1" applyFont="1" applyFill="1" applyBorder="1" applyAlignment="1">
      <x:alignment vertical="center" wrapText="1"/>
    </x:xf>
    <x:xf numFmtId="203" fontId="14" fillId="0" borderId="0" xfId="0" applyNumberFormat="1" applyFont="1" applyFill="1" applyBorder="1" applyAlignment="1">
      <x:alignment horizontal="right" vertical="center"/>
    </x:xf>
    <x:xf numFmtId="202" fontId="14" fillId="0" borderId="0" xfId="0" applyNumberFormat="1" applyFont="1" applyFill="1" applyBorder="1" applyAlignment="1">
      <x:alignment horizontal="right" vertical="center"/>
    </x:xf>
    <x:xf numFmtId="0" fontId="25" fillId="0" borderId="29" xfId="0" applyNumberFormat="1" applyFont="1" applyFill="1" applyBorder="1" applyAlignment="1">
      <x:alignment vertical="center"/>
    </x:xf>
    <x:xf numFmtId="203" fontId="25" fillId="0" borderId="29" xfId="0" applyNumberFormat="1" applyFont="1" applyFill="1" applyBorder="1" applyAlignment="1">
      <x:alignment horizontal="right" vertical="center"/>
    </x:xf>
    <x:xf numFmtId="202" fontId="25" fillId="0" borderId="29" xfId="0" applyNumberFormat="1" applyFont="1" applyFill="1" applyBorder="1" applyAlignment="1">
      <x:alignment horizontal="right" vertical="center"/>
    </x:xf>
    <x:xf numFmtId="201" fontId="14" fillId="0" borderId="12" xfId="0" applyNumberFormat="1" applyFont="1" applyFill="1" applyBorder="1" applyAlignment="1">
      <x:alignment horizontal="right" vertical="center"/>
    </x:xf>
    <x:xf numFmtId="201" fontId="21" fillId="0" borderId="0" xfId="0" applyNumberFormat="1" applyFont="1" applyFill="1" applyBorder="1" applyAlignment="1">
      <x:alignment horizontal="right" vertical="center"/>
    </x:xf>
    <x:xf numFmtId="203" fontId="21" fillId="0" borderId="0" xfId="0" applyNumberFormat="1" applyFont="1" applyFill="1" applyBorder="1" applyAlignment="1">
      <x:alignment horizontal="right" vertical="center"/>
    </x:xf>
    <x:xf numFmtId="202" fontId="21" fillId="0" borderId="0" xfId="0" applyNumberFormat="1" applyFont="1" applyFill="1" applyBorder="1" applyAlignment="1">
      <x:alignment horizontal="right" vertical="center"/>
    </x:xf>
    <x:xf numFmtId="0" fontId="16" fillId="7" borderId="12" xfId="0" applyNumberFormat="1" applyFont="1" applyFill="1" applyBorder="1" applyAlignment="1">
      <x:alignment vertical="center"/>
    </x:xf>
    <x:xf numFmtId="200" fontId="16" fillId="7" borderId="12" xfId="0" applyNumberFormat="1" applyFont="1" applyFill="1" applyBorder="1" applyAlignment="1">
      <x:alignment horizontal="right" vertical="center"/>
    </x:xf>
    <x:xf numFmtId="0" fontId="25" fillId="0" borderId="28" xfId="0" applyNumberFormat="1" applyFont="1" applyFill="1" applyBorder="1" applyAlignment="1">
      <x:alignment vertical="center"/>
    </x:xf>
    <x:xf numFmtId="200" fontId="25" fillId="0" borderId="28" xfId="0" applyNumberFormat="1" applyFont="1" applyFill="1" applyBorder="1" applyAlignment="1">
      <x:alignment horizontal="right" vertical="center"/>
    </x:xf>
    <x:xf numFmtId="0" fontId="25" fillId="0" borderId="0" xfId="0" applyNumberFormat="1" applyFont="1" applyFill="1" applyBorder="1" applyAlignment="1">
      <x:alignment vertical="center"/>
    </x:xf>
    <x:xf numFmtId="202" fontId="25" fillId="0" borderId="0" xfId="0" applyNumberFormat="1" applyFont="1" applyFill="1" applyBorder="1" applyAlignment="1">
      <x:alignment horizontal="right" vertical="center"/>
    </x:xf>
    <x:xf numFmtId="200" fontId="21" fillId="0" borderId="0" xfId="0" applyNumberFormat="1" applyFont="1" applyFill="1" applyBorder="1" applyAlignment="1">
      <x:alignment horizontal="right" vertical="center"/>
    </x:xf>
    <x:xf numFmtId="200" fontId="25" fillId="0" borderId="0" xfId="0" applyNumberFormat="1" applyFont="1" applyFill="1" applyBorder="1" applyAlignment="1">
      <x:alignment horizontal="right" vertical="center"/>
    </x:xf>
    <x:xf numFmtId="0" fontId="25" fillId="0" borderId="12" xfId="0" applyNumberFormat="1" applyFont="1" applyFill="1" applyBorder="1" applyAlignment="1">
      <x:alignment vertical="center"/>
    </x:xf>
    <x:xf numFmtId="200" fontId="25" fillId="0" borderId="12" xfId="0" applyNumberFormat="1" applyFont="1" applyFill="1" applyBorder="1" applyAlignment="1">
      <x:alignment horizontal="right" vertical="center"/>
    </x:xf>
    <x:xf numFmtId="0" fontId="16" fillId="6" borderId="0" xfId="0" applyNumberFormat="1" applyFont="1" applyFill="1" applyBorder="1" applyAlignment="1">
      <x:alignment vertical="center"/>
    </x:xf>
    <x:xf numFmtId="200" fontId="16" fillId="6" borderId="0" xfId="0" applyNumberFormat="1" applyFont="1" applyFill="1" applyBorder="1" applyAlignment="1">
      <x:alignment horizontal="right" vertical="center"/>
    </x:xf>
    <x:xf numFmtId="201" fontId="16" fillId="6" borderId="0" xfId="0" applyNumberFormat="1" applyFont="1" applyFill="1" applyBorder="1" applyAlignment="1">
      <x:alignment horizontal="right"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27" fillId="6" borderId="0" xfId="0" applyNumberFormat="1" applyFont="1" applyFill="1" applyBorder="1" applyAlignment="1">
      <x:alignment horizontal="center" vertical="center"/>
    </x:xf>
    <x:xf numFmtId="200" fontId="14" fillId="0" borderId="0" xfId="0" applyNumberFormat="1" applyFont="1" applyFill="1" applyBorder="1" applyAlignment="1">
      <x:alignment horizontal="right" vertical="center" wrapText="1"/>
    </x:xf>
    <x:xf numFmtId="202" fontId="14" fillId="0" borderId="0" xfId="0" applyNumberFormat="1" applyFont="1" applyFill="1" applyBorder="1" applyAlignment="1">
      <x:alignment horizontal="right" vertical="center" wrapText="1"/>
    </x:xf>
    <x:xf numFmtId="203" fontId="14" fillId="0" borderId="0" xfId="0" applyNumberFormat="1" applyFont="1" applyFill="1" applyBorder="1" applyAlignment="1">
      <x:alignment horizontal="right" vertical="center" wrapText="1"/>
    </x:xf>
    <x:xf numFmtId="201" fontId="14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E7A46"/>
      </x:font>
      <x:fill>
        <x:patternFill patternType="solid">
          <x:bgColor rgb="FFE8F5F2"/>
        </x:patternFill>
      </x:fill>
    </x:dxf>
    <x:dxf>
      <x:font>
        <x:b/>
        <x:color rgb="FF1E7A46"/>
      </x:font>
      <x:fill>
        <x:patternFill patternType="solid">
          <x:bgColor rgb="FFE8F5F2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134598b464002" /><Relationship Type="http://schemas.openxmlformats.org/officeDocument/2006/relationships/theme" Target="/xl/theme/theme1.xml" Id="R9e688585be3a4b0c" /><Relationship Type="http://schemas.openxmlformats.org/officeDocument/2006/relationships/sharedStrings" Target="/xl/sharedStrings.xml" Id="R0ba09bf96afc4311" /><Relationship Type="http://schemas.openxmlformats.org/officeDocument/2006/relationships/worksheet" Target="/xl/worksheets/sheet1.xml" Id="Rd7121bf0567e4824" /><Relationship Type="http://schemas.openxmlformats.org/officeDocument/2006/relationships/worksheet" Target="/xl/worksheets/sheet2.xml" Id="R39aabec17994408f" /><Relationship Type="http://schemas.openxmlformats.org/officeDocument/2006/relationships/worksheet" Target="/xl/worksheets/sheet3.xml" Id="Rfbacb528139a4a5f" /><Relationship Type="http://schemas.openxmlformats.org/officeDocument/2006/relationships/worksheet" Target="/xl/worksheets/sheet4.xml" Id="Rfdcf4c53a67e466d" /><Relationship Type="http://schemas.openxmlformats.org/officeDocument/2006/relationships/worksheet" Target="/xl/worksheets/sheet5.xml" Id="R7ad12ea4ff3f454e" /><Relationship Type="http://schemas.openxmlformats.org/officeDocument/2006/relationships/worksheet" Target="/xl/worksheets/sheet6.xml" Id="R29bc7f75d73f42d1" /><Relationship Type="http://schemas.openxmlformats.org/officeDocument/2006/relationships/worksheet" Target="/xl/worksheets/sheet7.xml" Id="Ra5a6efc5b1004dff" /><Relationship Type="http://schemas.openxmlformats.org/officeDocument/2006/relationships/worksheet" Target="/xl/worksheets/sheet8.xml" Id="R1b003fd9b3af44d6" /><Relationship Type="http://schemas.microsoft.com/office/2017/10/relationships/person" Target="/xl/persons/person.xml" Id="Rece7d06d89824b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21bded58d3401b" /><Relationship Type="http://schemas.openxmlformats.org/officeDocument/2006/relationships/chart" Target="/xl/drawings/charts/chart2.xml" Id="R0788acc309614e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Scales Only After Repeatable Demand ($)</a:t>
            </a:r>
          </a:p>
        </c:rich>
      </c:tx>
    </c:title>
    <c:plotArea>
      <c:lineChart>
        <c:grouping val="standard"/>
        <c:ser>
          <c:idx val="0"/>
          <c:order val="0"/>
          <c:tx>
            <c:v>Conservative</c:v>
          </c:tx>
          <c:spPr>
            <a:solidFill xmlns:a="http://schemas.openxmlformats.org/drawingml/2006/main">
              <a:srgbClr val="2A7F75"/>
            </a:solidFill>
          </c:spPr>
          <c:marker>
            <c:symbol val="none"/>
          </c:marker>
          <c:cat>
            <c:strRef>
              <c:f>'Scenario Summary'!$B$12:$F$12</c:f>
              <c:strCache>
                <c:ptCount val="0"/>
              </c:strCache>
            </c:strRef>
          </c:cat>
          <c:val>
            <c:numRef>
              <c:f>'Scenario Summary'!$B$13:$F$13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234E70"/>
            </a:solidFill>
          </c:spPr>
          <c:marker>
            <c:symbol val="none"/>
          </c:marker>
          <c:cat>
            <c:strRef>
              <c:f>'Scenario Summary'!$B$12:$F$12</c:f>
              <c:strCache>
                <c:ptCount val="0"/>
              </c:strCache>
            </c:strRef>
          </c:cat>
          <c:val>
            <c:numRef>
              <c:f>'Scenario Summary'!$B$14:$F$14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Upside</c:v>
          </c:tx>
          <c:spPr>
            <a:solidFill xmlns:a="http://schemas.openxmlformats.org/drawingml/2006/main">
              <a:srgbClr val="D6A84B"/>
            </a:solidFill>
          </c:spPr>
          <c:marker>
            <c:symbol val="none"/>
          </c:marker>
          <c:cat>
            <c:strRef>
              <c:f>'Scenario Summary'!$B$12:$F$12</c:f>
              <c:strCache>
                <c:ptCount val="0"/>
              </c:strCache>
            </c:strRef>
          </c:cat>
          <c:val>
            <c:numRef>
              <c:f>'Scenario Summary'!$B$15:$F$15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EBITDA Diverges by Scenario ($)</a:t>
            </a:r>
          </a:p>
        </c:rich>
      </c:tx>
    </c:title>
    <c:plotArea>
      <c:lineChart>
        <c:grouping val="standard"/>
        <c:ser>
          <c:idx val="0"/>
          <c:order val="0"/>
          <c:tx>
            <c:v>Conservative</c:v>
          </c:tx>
          <c:spPr>
            <a:solidFill xmlns:a="http://schemas.openxmlformats.org/drawingml/2006/main">
              <a:srgbClr val="2A7F75"/>
            </a:solidFill>
          </c:spPr>
          <c:marker>
            <c:symbol val="none"/>
          </c:marker>
          <c:cat>
            <c:strRef>
              <c:f>'Scenario Summary'!$B$19:$F$19</c:f>
              <c:strCache>
                <c:ptCount val="0"/>
              </c:strCache>
            </c:strRef>
          </c:cat>
          <c:val>
            <c:numRef>
              <c:f>'Scenario Summary'!$B$20:$F$20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234E70"/>
            </a:solidFill>
          </c:spPr>
          <c:marker>
            <c:symbol val="none"/>
          </c:marker>
          <c:cat>
            <c:strRef>
              <c:f>'Scenario Summary'!$B$19:$F$19</c:f>
              <c:strCache>
                <c:ptCount val="0"/>
              </c:strCache>
            </c:strRef>
          </c:cat>
          <c:val>
            <c:numRef>
              <c:f>'Scenario Summary'!$B$21:$F$21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Upside</c:v>
          </c:tx>
          <c:spPr>
            <a:solidFill xmlns:a="http://schemas.openxmlformats.org/drawingml/2006/main">
              <a:srgbClr val="D6A84B"/>
            </a:solidFill>
          </c:spPr>
          <c:marker>
            <c:symbol val="none"/>
          </c:marker>
          <c:cat>
            <c:strRef>
              <c:f>'Scenario Summary'!$B$19:$F$19</c:f>
              <c:strCache>
                <c:ptCount val="0"/>
              </c:strCache>
            </c:strRef>
          </c:cat>
          <c:val>
            <c:numRef>
              <c:f>'Scenario Summary'!$B$22:$F$22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21bded58d3401b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88acc309614e2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an Trezise" id="{20460878-8AF5-417B-BA2E-462F409B441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17T17:46:56.472" personId="{20460878-8AF5-417B-BA2E-462F409B4416}" id="{6CD3BC30-CD20-3F08-C4CC-28D9EF81A5D0}">
    <xltc:text>Source: Kickstarter official fee page | https://help.kickstarter.com/hc/en-us/articles/115005028634-What-are-the-fees | Accessed 2026-07-17</xltc:text>
  </xltc:threadedComment>
  <xltc:threadedComment ref="B8" dT="2026-07-17T17:46:56.472" personId="{20460878-8AF5-417B-BA2E-462F409B4416}" id="{C3B776DD-EC86-452C-F296-B1167005292E}">
    <xltc:text>Source: Kickstarter states payment processing is approximately 3%–5%; 4% is the planning midpoint | https://help.kickstarter.com/hc/en-us/articles/115005028634-What-are-the-fees | Accessed 2026-07-17</xltc:text>
  </xltc:threadedComment>
  <xltc:threadedComment ref="B11" dT="2026-07-17T17:46:56.472" personId="{20460878-8AF5-417B-BA2E-462F409B4416}" id="{030E6D17-FA12-ACA0-9679-FC89E78E7BD8}">
    <xltc:text>Source: Public retailer-direct terms commonly show about 50% of MSRP | https://www.level99games.com/pages/retail | Accessed 2026-07-17</xltc:text>
  </xltc:threadedComment>
  <xltc:threadedComment ref="B12" dT="2026-07-17T17:46:56.473" personId="{20460878-8AF5-417B-BA2E-462F409B4416}" id="{33D26731-FE40-F0E5-D9C8-E61A24FD61A6}">
    <xltc:text>Source: Public distributor terms commonly show net 40% of MSRP | https://greenfairystudios.com/about/terms-and-conditions/distributor-terms/ | Accessed 2026-07-17</xltc:text>
  </xltc:threadedComment>
  <xltc:threadedComment ref="B15" dT="2026-07-17T17:46:56.473" personId="{20460878-8AF5-417B-BA2E-462F409B4416}" id="{F2CE237B-8AE1-C9DB-76F8-03F6624AF386}">
    <xltc:text>Source: Panda Game Manufacturing states a 1,500-game MOQ | https://pandagm.com/our-process/ | Accessed 2026-07-17</xltc:text>
  </xltc:threadedComment>
  <xltc:threadedComment ref="C38" dT="2026-07-17T17:46:56.473" personId="{20460878-8AF5-417B-BA2E-462F409B4416}" id="{DDEA6F04-1BFE-90D2-CD74-9493FF455A65}">
    <xltc:text>Source anchor: PrintNinja sample conventional board game was $10.60/unit at 1,000 copies and $14.28 at 500; base landed cost adds duty/receiving/quality contingency | https://printninja.com/sample-pricing/ | Accessed 2026-07-17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459d8f5206442bb" /><Relationship Type="http://schemas.openxmlformats.org/officeDocument/2006/relationships/vmlDrawing" Target="/xl/drawings/vmldrawing.vml" Id="R5d2f89e371d04fa6" /><Relationship Type="http://schemas.microsoft.com/office/2017/10/relationships/threadedComment" Target="/xl/threadedcomments/threadedcomment.xml" Id="R32f15c7bb95447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9aed922ce754d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121" t="str">
        <x:v>MR WALLABOO GAMES — FINANCIAL MODEL</x:v>
      </x:c>
      <x:c r="B1" s="121"/>
      <x:c r="C1" s="121"/>
      <x:c r="D1" s="121"/>
      <x:c r="E1" s="121"/>
      <x:c r="F1" s="121"/>
      <x:c r="G1" s="121"/>
      <x:c r="H1" s="121"/>
    </x:row>
    <x:row r="2" ht="34" customHeight="1">
      <x:c r="A2" s="121"/>
      <x:c r="B2" s="121"/>
      <x:c r="C2" s="121"/>
      <x:c r="D2" s="121"/>
      <x:c r="E2" s="121"/>
      <x:c r="F2" s="121"/>
      <x:c r="G2" s="121"/>
      <x:c r="H2" s="121"/>
    </x:row>
    <x:row r="3">
      <x:c r="A3" s="261" t="str">
        <x:v>Illustrative five-year operating plan | WORKING v0.1 | 17 Jul 2026</x:v>
      </x:c>
      <x:c r="B3" s="261"/>
      <x:c r="C3" s="261"/>
      <x:c r="D3" s="261"/>
      <x:c r="E3" s="261"/>
      <x:c r="F3" s="261"/>
      <x:c r="G3" s="261"/>
      <x:c r="H3" s="261"/>
    </x:row>
    <x:row r="4">
      <x:c r="A4" s="262"/>
      <x:c r="B4" s="262"/>
      <x:c r="C4" s="262"/>
      <x:c r="D4" s="262"/>
      <x:c r="E4" s="262"/>
      <x:c r="F4" s="262"/>
      <x:c r="G4" s="262"/>
      <x:c r="H4" s="262"/>
    </x:row>
    <x:row r="5" ht="23" customHeight="1">
      <x:c r="A5" s="124" t="str">
        <x:v>DECISION SNAPSHOT</x:v>
      </x:c>
      <x:c r="B5" s="124"/>
      <x:c r="C5" s="124"/>
      <x:c r="D5" s="124"/>
      <x:c r="E5" s="124"/>
      <x:c r="F5" s="124"/>
      <x:c r="G5" s="124"/>
      <x:c r="H5" s="124"/>
    </x:row>
    <x:row r="6">
      <x:c r="A6" s="125" t="str">
        <x:v>Recommendation</x:v>
      </x:c>
      <x:c r="B6" s="125"/>
      <x:c r="C6" s="126" t="str">
        <x:v>CONDITIONAL GO</x:v>
      </x:c>
      <x:c r="D6" s="127"/>
      <x:c r="E6" s="125" t="str">
        <x:v>Base-case break-even</x:v>
      </x:c>
      <x:c r="F6" s="125"/>
      <x:c r="G6" s="128" t="n">
        <x:f>'Scenario Summary'!F7</x:f>
        <x:v>2030</x:v>
      </x:c>
      <x:c r="H6" s="129"/>
    </x:row>
    <x:row r="7">
      <x:c r="A7" s="125"/>
      <x:c r="B7" s="125"/>
      <x:c r="C7" s="130"/>
      <x:c r="D7" s="131"/>
      <x:c r="E7" s="125"/>
      <x:c r="F7" s="125"/>
      <x:c r="G7" s="132"/>
      <x:c r="H7" s="133"/>
    </x:row>
    <x:row r="8">
      <x:c r="A8" s="262"/>
      <x:c r="B8" s="262"/>
      <x:c r="C8" s="262"/>
      <x:c r="D8" s="262"/>
      <x:c r="E8" s="262"/>
      <x:c r="F8" s="262"/>
      <x:c r="G8" s="262"/>
      <x:c r="H8" s="262"/>
    </x:row>
    <x:row r="9" ht="28" customHeight="1">
      <x:c r="A9" s="134" t="str">
        <x:v>KPI</x:v>
      </x:c>
      <x:c r="B9" s="135" t="str">
        <x:v>2027</x:v>
      </x:c>
      <x:c r="C9" s="135" t="str">
        <x:v>2028</x:v>
      </x:c>
      <x:c r="D9" s="135" t="str">
        <x:v>2029</x:v>
      </x:c>
      <x:c r="E9" s="135" t="str">
        <x:v>2030</x:v>
      </x:c>
      <x:c r="F9" s="135" t="str">
        <x:v>2031</x:v>
      </x:c>
      <x:c r="G9" s="135" t="str">
        <x:v>Five-year</x:v>
      </x:c>
      <x:c r="H9" s="136" t="str">
        <x:v>Status</x:v>
      </x:c>
    </x:row>
    <x:row r="10">
      <x:c r="A10" s="262" t="str">
        <x:v>Net Revenue</x:v>
      </x:c>
      <x:c r="B10" s="263" t="n">
        <x:f>'Operating Model'!B17</x:f>
        <x:v>67470</x:v>
      </x:c>
      <x:c r="C10" s="263" t="n">
        <x:f>'Operating Model'!C17</x:f>
        <x:v>152100</x:v>
      </x:c>
      <x:c r="D10" s="263" t="n">
        <x:f>'Operating Model'!D17</x:f>
        <x:v>288000</x:v>
      </x:c>
      <x:c r="E10" s="263" t="n">
        <x:f>'Operating Model'!E17</x:f>
        <x:v>468384</x:v>
      </x:c>
      <x:c r="F10" s="263" t="n">
        <x:f>'Operating Model'!F17</x:f>
        <x:v>687960</x:v>
      </x:c>
      <x:c r="G10" s="263" t="n">
        <x:f>SUM(B10:F10)</x:f>
        <x:v>1663914</x:v>
      </x:c>
      <x:c r="H10" s="262" t="str">
        <x:v>Base case</x:v>
      </x:c>
    </x:row>
    <x:row r="11">
      <x:c r="A11" s="262" t="str">
        <x:v>EBITDA</x:v>
      </x:c>
      <x:c r="B11" s="263" t="n">
        <x:f>'Operating Model'!B30</x:f>
        <x:v>-23109.1</x:v>
      </x:c>
      <x:c r="C11" s="263" t="n">
        <x:f>'Operating Model'!C30</x:f>
        <x:v>-28073</x:v>
      </x:c>
      <x:c r="D11" s="263" t="n">
        <x:f>'Operating Model'!D30</x:f>
        <x:v>-4890</x:v>
      </x:c>
      <x:c r="E11" s="263" t="n">
        <x:f>'Operating Model'!E30</x:f>
        <x:v>40958.28</x:v>
      </x:c>
      <x:c r="F11" s="263" t="n">
        <x:f>'Operating Model'!F30</x:f>
        <x:v>111670.20000000001</x:v>
      </x:c>
      <x:c r="G11" s="263" t="n">
        <x:f>SUM(B11:F11)</x:f>
        <x:v>96556.38</x:v>
      </x:c>
      <x:c r="H11" s="262" t="str">
        <x:v>Positive in 2030</x:v>
      </x:c>
    </x:row>
    <x:row r="12">
      <x:c r="A12" s="262" t="str">
        <x:v>Units Sold</x:v>
      </x:c>
      <x:c r="B12" s="264" t="n">
        <x:f>'Operating Model'!B6</x:f>
        <x:v>2000</x:v>
      </x:c>
      <x:c r="C12" s="264" t="n">
        <x:f>'Operating Model'!C6</x:f>
        <x:v>5000</x:v>
      </x:c>
      <x:c r="D12" s="264" t="n">
        <x:f>'Operating Model'!D6</x:f>
        <x:v>10000</x:v>
      </x:c>
      <x:c r="E12" s="264" t="n">
        <x:f>'Operating Model'!E6</x:f>
        <x:v>17000</x:v>
      </x:c>
      <x:c r="F12" s="264" t="n">
        <x:f>'Operating Model'!F6</x:f>
        <x:v>26000</x:v>
      </x:c>
      <x:c r="G12" s="264" t="n">
        <x:f>SUM(B12:F12)</x:f>
        <x:v>60000</x:v>
      </x:c>
      <x:c r="H12" s="262" t="str">
        <x:v>Catalog scale</x:v>
      </x:c>
    </x:row>
    <x:row r="13">
      <x:c r="A13" s="265" t="str">
        <x:v>Ending Cash</x:v>
      </x:c>
      <x:c r="B13" s="266" t="n">
        <x:f>'Cash &amp; Funding'!B9</x:f>
        <x:v>51890.9</x:v>
      </x:c>
      <x:c r="C13" s="266" t="n">
        <x:f>'Cash &amp; Funding'!C9</x:f>
        <x:v>23817.9</x:v>
      </x:c>
      <x:c r="D13" s="266" t="n">
        <x:f>'Cash &amp; Funding'!D9</x:f>
        <x:v>18927.9</x:v>
      </x:c>
      <x:c r="E13" s="266" t="n">
        <x:f>'Cash &amp; Funding'!E9</x:f>
        <x:v>59886.18</x:v>
      </x:c>
      <x:c r="F13" s="266" t="n">
        <x:f>'Cash &amp; Funding'!F9</x:f>
        <x:v>171556.38</x:v>
      </x:c>
      <x:c r="G13" s="266" t="n">
        <x:f>F13</x:f>
        <x:v>171556.38</x:v>
      </x:c>
      <x:c r="H13" s="265" t="str">
        <x:v>Seed reserve modeled</x:v>
      </x:c>
    </x:row>
    <x:row r="14">
      <x:c r="A14" s="262"/>
      <x:c r="B14" s="262"/>
      <x:c r="C14" s="262"/>
      <x:c r="D14" s="262"/>
      <x:c r="E14" s="262"/>
      <x:c r="F14" s="262"/>
      <x:c r="G14" s="262"/>
      <x:c r="H14" s="262"/>
    </x:row>
    <x:row r="15" ht="23" customHeight="1">
      <x:c r="A15" s="124" t="str">
        <x:v>HOW TO USE THIS MODEL</x:v>
      </x:c>
      <x:c r="B15" s="124"/>
      <x:c r="C15" s="124"/>
      <x:c r="D15" s="124"/>
      <x:c r="E15" s="124"/>
      <x:c r="F15" s="124"/>
      <x:c r="G15" s="124"/>
      <x:c r="H15" s="124"/>
    </x:row>
    <x:row r="16">
      <x:c r="A16" s="267" t="str">
        <x:v>Blue/yellow cells are editable assumptions. Green formulas link to another sheet. Black formulas calculate outputs. The three scenarios are independent planning cases, not probabilities. Update the model only after a flagship bill of materials, supplier quotes, fulfillment quotes, and prelaunch conversion data exist. Crowdfunding receipts are product sales, not financing, and customer-paid shipping is excluded from revenue and expense.</x:v>
      </x:c>
      <x:c r="B16" s="268"/>
      <x:c r="C16" s="268"/>
      <x:c r="D16" s="268"/>
      <x:c r="E16" s="268"/>
      <x:c r="F16" s="268"/>
      <x:c r="G16" s="268"/>
      <x:c r="H16" s="269"/>
    </x:row>
    <x:row r="17">
      <x:c r="A17" s="270"/>
      <x:c r="B17" s="271"/>
      <x:c r="C17" s="271"/>
      <x:c r="D17" s="271"/>
      <x:c r="E17" s="271"/>
      <x:c r="F17" s="271"/>
      <x:c r="G17" s="271"/>
      <x:c r="H17" s="272"/>
    </x:row>
    <x:row r="18">
      <x:c r="A18" s="270"/>
      <x:c r="B18" s="271"/>
      <x:c r="C18" s="271"/>
      <x:c r="D18" s="271"/>
      <x:c r="E18" s="271"/>
      <x:c r="F18" s="271"/>
      <x:c r="G18" s="271"/>
      <x:c r="H18" s="272"/>
    </x:row>
    <x:row r="19">
      <x:c r="A19" s="273"/>
      <x:c r="B19" s="274"/>
      <x:c r="C19" s="274"/>
      <x:c r="D19" s="274"/>
      <x:c r="E19" s="274"/>
      <x:c r="F19" s="274"/>
      <x:c r="G19" s="274"/>
      <x:c r="H19" s="275"/>
    </x:row>
    <x:row r="20">
      <x:c r="A20" s="262"/>
      <x:c r="B20" s="262"/>
      <x:c r="C20" s="262"/>
      <x:c r="D20" s="262"/>
      <x:c r="E20" s="262"/>
      <x:c r="F20" s="262"/>
      <x:c r="G20" s="262"/>
      <x:c r="H20" s="262"/>
    </x:row>
    <x:row r="21" ht="23" customHeight="1">
      <x:c r="A21" s="124" t="str">
        <x:v>COLOR LEGEND</x:v>
      </x:c>
      <x:c r="B21" s="124"/>
      <x:c r="C21" s="124"/>
      <x:c r="D21" s="124"/>
      <x:c r="E21" s="124"/>
      <x:c r="F21" s="124"/>
      <x:c r="G21" s="124"/>
      <x:c r="H21" s="124"/>
    </x:row>
    <x:row r="22">
      <x:c r="A22" s="276" t="str">
        <x:v>Editable assumptions</x:v>
      </x:c>
      <x:c r="B22" s="276"/>
      <x:c r="C22" s="277" t="str">
        <x:v>Cross-sheet links</x:v>
      </x:c>
      <x:c r="D22" s="277"/>
      <x:c r="E22" s="278" t="str">
        <x:v>Calculated formulas</x:v>
      </x:c>
      <x:c r="F22" s="278"/>
      <x:c r="G22" s="279" t="str">
        <x:v>Checks / cautions</x:v>
      </x:c>
      <x:c r="H22" s="279"/>
    </x:row>
    <x:row r="23">
      <x:c r="A23" s="262"/>
      <x:c r="B23" s="262"/>
      <x:c r="C23" s="262"/>
      <x:c r="D23" s="262"/>
      <x:c r="E23" s="262"/>
      <x:c r="F23" s="262"/>
      <x:c r="G23" s="262"/>
      <x:c r="H23" s="262"/>
    </x:row>
    <x:row r="24">
      <x:c r="A24" s="154" t="str">
        <x:v>Important: This is an illustrative, unaudited planning model—not a valuation, securities offering, or legal/tax/customs opinion. The base case supports a lean publisher after a multi-year build; it does not support two market-rate founder salaries from launch.</x:v>
      </x:c>
      <x:c r="B24" s="155"/>
      <x:c r="C24" s="155"/>
      <x:c r="D24" s="155"/>
      <x:c r="E24" s="155"/>
      <x:c r="F24" s="155"/>
      <x:c r="G24" s="155"/>
      <x:c r="H24" s="156"/>
    </x:row>
    <x:row r="25">
      <x:c r="A25" s="157"/>
      <x:c r="B25" s="158"/>
      <x:c r="C25" s="158"/>
      <x:c r="D25" s="158"/>
      <x:c r="E25" s="158"/>
      <x:c r="F25" s="158"/>
      <x:c r="G25" s="158"/>
      <x:c r="H25" s="159"/>
    </x:row>
    <x:row r="26">
      <x:c r="A26" s="160"/>
      <x:c r="B26" s="161"/>
      <x:c r="C26" s="161"/>
      <x:c r="D26" s="161"/>
      <x:c r="E26" s="161"/>
      <x:c r="F26" s="161"/>
      <x:c r="G26" s="161"/>
      <x:c r="H26" s="162"/>
    </x:row>
  </x:sheetData>
  <x:mergeCells>
    <x:mergeCell ref="A1:H2"/>
    <x:mergeCell ref="A3:H3"/>
    <x:mergeCell ref="A5:H5"/>
    <x:mergeCell ref="A6:B6"/>
    <x:mergeCell ref="C6:D7"/>
    <x:mergeCell ref="E6:F6"/>
    <x:mergeCell ref="G6:H7"/>
    <x:mergeCell ref="A15:H15"/>
    <x:mergeCell ref="A16:H19"/>
    <x:mergeCell ref="A21:H21"/>
    <x:mergeCell ref="A22:B22"/>
    <x:mergeCell ref="C22:D22"/>
    <x:mergeCell ref="E22:F22"/>
    <x:mergeCell ref="G22:H22"/>
    <x:mergeCell ref="A24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1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4" customHeight="1">
      <x:c r="A1" s="121" t="str">
        <x:v>ASSUMPTIONS &amp; SCENARIO DRIVERS</x:v>
      </x:c>
      <x:c r="B1" s="121"/>
      <x:c r="C1" s="121"/>
      <x:c r="D1" s="121"/>
      <x:c r="E1" s="121"/>
      <x:c r="F1" s="121"/>
      <x:c r="G1" s="121"/>
    </x:row>
    <x:row r="2" ht="34" customHeight="1">
      <x:c r="A2" s="121"/>
      <x:c r="B2" s="121"/>
      <x:c r="C2" s="121"/>
      <x:c r="D2" s="121"/>
      <x:c r="E2" s="121"/>
      <x:c r="F2" s="121"/>
      <x:c r="G2" s="121"/>
    </x:row>
    <x:row r="3">
      <x:c r="A3" s="261" t="str">
        <x:v>All hardcodes are illustrative and should be replaced with quotes, test data, or approved management assumptions.</x:v>
      </x:c>
      <x:c r="B3" s="261"/>
      <x:c r="C3" s="261"/>
      <x:c r="D3" s="261"/>
      <x:c r="E3" s="261"/>
      <x:c r="F3" s="261"/>
      <x:c r="G3" s="261"/>
    </x:row>
    <x:row r="4">
      <x:c r="A4" s="262"/>
      <x:c r="B4" s="262"/>
      <x:c r="C4" s="262"/>
      <x:c r="D4" s="262"/>
      <x:c r="E4" s="262"/>
      <x:c r="F4" s="262"/>
      <x:c r="G4" s="262"/>
    </x:row>
    <x:row r="5" ht="23" customHeight="1">
      <x:c r="A5" s="124" t="str">
        <x:v>GENERAL INPUTS</x:v>
      </x:c>
      <x:c r="B5" s="124"/>
      <x:c r="C5" s="124"/>
      <x:c r="D5" s="124"/>
      <x:c r="E5" s="124"/>
      <x:c r="F5" s="124"/>
      <x:c r="G5" s="124"/>
    </x:row>
    <x:row r="6" ht="28" customHeight="1">
      <x:c r="A6" s="134" t="str">
        <x:v>Input</x:v>
      </x:c>
      <x:c r="B6" s="135" t="str">
        <x:v>Value</x:v>
      </x:c>
      <x:c r="C6" s="135" t="str">
        <x:v>Units</x:v>
      </x:c>
      <x:c r="D6" s="136" t="str">
        <x:v>Source / rationale</x:v>
      </x:c>
      <x:c r="E6" s="262"/>
      <x:c r="F6" s="262"/>
      <x:c r="G6" s="262"/>
    </x:row>
    <x:row r="7">
      <x:c r="A7" s="262" t="str">
        <x:v>Kickstarter platform fee</x:v>
      </x:c>
      <x:c r="B7" s="280" t="n">
        <x:v>0.05</x:v>
      </x:c>
      <x:c r="C7" s="262" t="str">
        <x:v>% of DTC product revenue</x:v>
      </x:c>
      <x:c r="D7" s="281" t="str">
        <x:v>Kickstarter official fee</x:v>
      </x:c>
      <x:c r="E7" s="262"/>
      <x:c r="F7" s="262"/>
      <x:c r="G7" s="262"/>
    </x:row>
    <x:row r="8">
      <x:c r="A8" s="262" t="str">
        <x:v>Payment processing</x:v>
      </x:c>
      <x:c r="B8" s="280" t="n">
        <x:v>0.04</x:v>
      </x:c>
      <x:c r="C8" s="262" t="str">
        <x:v>% of DTC product revenue</x:v>
      </x:c>
      <x:c r="D8" s="281" t="str">
        <x:v>Midpoint of official 3%–5% range</x:v>
      </x:c>
      <x:c r="E8" s="262"/>
      <x:c r="F8" s="262"/>
      <x:c r="G8" s="262"/>
    </x:row>
    <x:row r="9">
      <x:c r="A9" s="262" t="str">
        <x:v>DTC refund/chargeback reserve</x:v>
      </x:c>
      <x:c r="B9" s="280" t="n">
        <x:v>0.02</x:v>
      </x:c>
      <x:c r="C9" s="262" t="str">
        <x:v>% of DTC product revenue</x:v>
      </x:c>
      <x:c r="D9" s="281" t="str">
        <x:v>Planning assumption</x:v>
      </x:c>
      <x:c r="E9" s="262"/>
      <x:c r="F9" s="262"/>
      <x:c r="G9" s="262"/>
    </x:row>
    <x:row r="10">
      <x:c r="A10" s="262" t="str">
        <x:v>DTC pick/pack and materials</x:v>
      </x:c>
      <x:c r="B10" s="282" t="n">
        <x:v>3.25</x:v>
      </x:c>
      <x:c r="C10" s="262" t="str">
        <x:v>$ / DTC unit</x:v>
      </x:c>
      <x:c r="D10" s="281" t="str">
        <x:v>Planning assumption; excludes postage</x:v>
      </x:c>
      <x:c r="E10" s="262"/>
      <x:c r="F10" s="262"/>
      <x:c r="G10" s="262"/>
    </x:row>
    <x:row r="11">
      <x:c r="A11" s="262" t="str">
        <x:v>Retail-direct net price</x:v>
      </x:c>
      <x:c r="B11" s="280" t="n">
        <x:v>0.5</x:v>
      </x:c>
      <x:c r="C11" s="262" t="str">
        <x:v>% of MSRP</x:v>
      </x:c>
      <x:c r="D11" s="281" t="str">
        <x:v>Public publisher wholesale terms</x:v>
      </x:c>
      <x:c r="E11" s="262"/>
      <x:c r="F11" s="262"/>
      <x:c r="G11" s="262"/>
    </x:row>
    <x:row r="12">
      <x:c r="A12" s="262" t="str">
        <x:v>Distributor net price</x:v>
      </x:c>
      <x:c r="B12" s="280" t="n">
        <x:v>0.4</x:v>
      </x:c>
      <x:c r="C12" s="262" t="str">
        <x:v>% of MSRP</x:v>
      </x:c>
      <x:c r="D12" s="281" t="str">
        <x:v>Public publisher distributor terms</x:v>
      </x:c>
      <x:c r="E12" s="262"/>
      <x:c r="F12" s="262"/>
      <x:c r="G12" s="262"/>
    </x:row>
    <x:row r="13">
      <x:c r="A13" s="262" t="str">
        <x:v>Wholesale outbound freight</x:v>
      </x:c>
      <x:c r="B13" s="280" t="n">
        <x:v>0.03</x:v>
      </x:c>
      <x:c r="C13" s="262" t="str">
        <x:v>% of wholesale revenue</x:v>
      </x:c>
      <x:c r="D13" s="281" t="str">
        <x:v>Planning assumption</x:v>
      </x:c>
      <x:c r="E13" s="262"/>
      <x:c r="F13" s="262"/>
      <x:c r="G13" s="262"/>
    </x:row>
    <x:row r="14">
      <x:c r="A14" s="262" t="str">
        <x:v>Seed liquidity reserve</x:v>
      </x:c>
      <x:c r="B14" s="283" t="n">
        <x:v>75000</x:v>
      </x:c>
      <x:c r="C14" s="262" t="str">
        <x:v>$</x:v>
      </x:c>
      <x:c r="D14" s="281" t="str">
        <x:v>Milestone-gated planning reserve</x:v>
      </x:c>
      <x:c r="E14" s="262"/>
      <x:c r="F14" s="262"/>
      <x:c r="G14" s="262"/>
    </x:row>
    <x:row r="15">
      <x:c r="A15" s="262" t="str">
        <x:v>First production target</x:v>
      </x:c>
      <x:c r="B15" s="284" t="n">
        <x:v>1500</x:v>
      </x:c>
      <x:c r="C15" s="262" t="str">
        <x:v>units</x:v>
      </x:c>
      <x:c r="D15" s="281" t="str">
        <x:v>Panda MOQ / practical offset scale</x:v>
      </x:c>
      <x:c r="E15" s="262"/>
      <x:c r="F15" s="262"/>
      <x:c r="G15" s="262"/>
    </x:row>
    <x:row r="16">
      <x:c r="A16" s="265" t="str">
        <x:v>Campaign product-pledge goal</x:v>
      </x:c>
      <x:c r="B16" s="285" t="n">
        <x:v>60000</x:v>
      </x:c>
      <x:c r="C16" s="265" t="str">
        <x:v>$</x:v>
      </x:c>
      <x:c r="D16" s="286" t="str">
        <x:v>Management gate; shipping excluded</x:v>
      </x:c>
      <x:c r="E16" s="262"/>
      <x:c r="F16" s="262"/>
      <x:c r="G16" s="262"/>
    </x:row>
    <x:row r="17">
      <x:c r="A17" s="262"/>
      <x:c r="B17" s="262"/>
      <x:c r="C17" s="262"/>
      <x:c r="D17" s="262"/>
      <x:c r="E17" s="262"/>
      <x:c r="F17" s="262"/>
      <x:c r="G17" s="262"/>
    </x:row>
    <x:row r="18">
      <x:c r="A18" s="262"/>
      <x:c r="B18" s="262"/>
      <x:c r="C18" s="262"/>
      <x:c r="D18" s="262"/>
      <x:c r="E18" s="262"/>
      <x:c r="F18" s="262"/>
      <x:c r="G18" s="262"/>
    </x:row>
    <x:row r="19" ht="23" customHeight="1">
      <x:c r="A19" s="124" t="str">
        <x:v>CONSERVATIVE CASE</x:v>
      </x:c>
      <x:c r="B19" s="124"/>
      <x:c r="C19" s="124"/>
      <x:c r="D19" s="124"/>
      <x:c r="E19" s="124"/>
      <x:c r="F19" s="124"/>
      <x:c r="G19" s="124"/>
    </x:row>
    <x:row r="20" ht="28" customHeight="1">
      <x:c r="A20" s="134" t="str">
        <x:v>Driver</x:v>
      </x:c>
      <x:c r="B20" s="135" t="str">
        <x:v>Units</x:v>
      </x:c>
      <x:c r="C20" s="135" t="n">
        <x:v>2027</x:v>
      </x:c>
      <x:c r="D20" s="135" t="n">
        <x:v>2028</x:v>
      </x:c>
      <x:c r="E20" s="135" t="n">
        <x:v>2029</x:v>
      </x:c>
      <x:c r="F20" s="135" t="n">
        <x:v>2030</x:v>
      </x:c>
      <x:c r="G20" s="136" t="n">
        <x:v>2031</x:v>
      </x:c>
    </x:row>
    <x:row r="21">
      <x:c r="A21" s="262" t="str">
        <x:v>Units sold</x:v>
      </x:c>
      <x:c r="B21" s="262" t="str">
        <x:v>units</x:v>
      </x:c>
      <x:c r="C21" s="284" t="n">
        <x:v>1000</x:v>
      </x:c>
      <x:c r="D21" s="284" t="n">
        <x:v>2500</x:v>
      </x:c>
      <x:c r="E21" s="284" t="n">
        <x:v>5000</x:v>
      </x:c>
      <x:c r="F21" s="284" t="n">
        <x:v>8000</x:v>
      </x:c>
      <x:c r="G21" s="284" t="n">
        <x:v>12000</x:v>
      </x:c>
    </x:row>
    <x:row r="22">
      <x:c r="A22" s="262" t="str">
        <x:v>MSRP</x:v>
      </x:c>
      <x:c r="B22" s="262" t="str">
        <x:v>$ / unit</x:v>
      </x:c>
      <x:c r="C22" s="282" t="n">
        <x:v>39</x:v>
      </x:c>
      <x:c r="D22" s="282" t="n">
        <x:v>39</x:v>
      </x:c>
      <x:c r="E22" s="282" t="n">
        <x:v>40</x:v>
      </x:c>
      <x:c r="F22" s="282" t="n">
        <x:v>41</x:v>
      </x:c>
      <x:c r="G22" s="282" t="n">
        <x:v>42</x:v>
      </x:c>
    </x:row>
    <x:row r="23">
      <x:c r="A23" s="262" t="str">
        <x:v>DTC mix</x:v>
      </x:c>
      <x:c r="B23" s="262" t="str">
        <x:v>% units</x:v>
      </x:c>
      <x:c r="C23" s="280" t="n">
        <x:v>0.7</x:v>
      </x:c>
      <x:c r="D23" s="280" t="n">
        <x:v>0.55</x:v>
      </x:c>
      <x:c r="E23" s="280" t="n">
        <x:v>0.45</x:v>
      </x:c>
      <x:c r="F23" s="280" t="n">
        <x:v>0.35</x:v>
      </x:c>
      <x:c r="G23" s="280" t="n">
        <x:v>0.3</x:v>
      </x:c>
    </x:row>
    <x:row r="24">
      <x:c r="A24" s="262" t="str">
        <x:v>Retail-direct mix</x:v>
      </x:c>
      <x:c r="B24" s="262" t="str">
        <x:v>% units</x:v>
      </x:c>
      <x:c r="C24" s="280" t="n">
        <x:v>0.2</x:v>
      </x:c>
      <x:c r="D24" s="280" t="n">
        <x:v>0.2</x:v>
      </x:c>
      <x:c r="E24" s="280" t="n">
        <x:v>0.2</x:v>
      </x:c>
      <x:c r="F24" s="280" t="n">
        <x:v>0.2</x:v>
      </x:c>
      <x:c r="G24" s="280" t="n">
        <x:v>0.2</x:v>
      </x:c>
    </x:row>
    <x:row r="25">
      <x:c r="A25" s="262" t="str">
        <x:v>Landed cost</x:v>
      </x:c>
      <x:c r="B25" s="262" t="str">
        <x:v>$ / unit</x:v>
      </x:c>
      <x:c r="C25" s="282" t="n">
        <x:v>14</x:v>
      </x:c>
      <x:c r="D25" s="282" t="n">
        <x:v>13</x:v>
      </x:c>
      <x:c r="E25" s="282" t="n">
        <x:v>12</x:v>
      </x:c>
      <x:c r="F25" s="282" t="n">
        <x:v>11.5</x:v>
      </x:c>
      <x:c r="G25" s="282" t="n">
        <x:v>11</x:v>
      </x:c>
    </x:row>
    <x:row r="26">
      <x:c r="A26" s="262" t="str">
        <x:v>Development &amp; art</x:v>
      </x:c>
      <x:c r="B26" s="262" t="str">
        <x:v>$</x:v>
      </x:c>
      <x:c r="C26" s="283" t="n">
        <x:v>28000</x:v>
      </x:c>
      <x:c r="D26" s="283" t="n">
        <x:v>32000</x:v>
      </x:c>
      <x:c r="E26" s="283" t="n">
        <x:v>35000</x:v>
      </x:c>
      <x:c r="F26" s="283" t="n">
        <x:v>38000</x:v>
      </x:c>
      <x:c r="G26" s="283" t="n">
        <x:v>42000</x:v>
      </x:c>
    </x:row>
    <x:row r="27">
      <x:c r="A27" s="262" t="str">
        <x:v>Marketing</x:v>
      </x:c>
      <x:c r="B27" s="262" t="str">
        <x:v>$</x:v>
      </x:c>
      <x:c r="C27" s="283" t="n">
        <x:v>10000</x:v>
      </x:c>
      <x:c r="D27" s="283" t="n">
        <x:v>14000</x:v>
      </x:c>
      <x:c r="E27" s="283" t="n">
        <x:v>18000</x:v>
      </x:c>
      <x:c r="F27" s="283" t="n">
        <x:v>22000</x:v>
      </x:c>
      <x:c r="G27" s="283" t="n">
        <x:v>26000</x:v>
      </x:c>
    </x:row>
    <x:row r="28">
      <x:c r="A28" s="262" t="str">
        <x:v>Overhead</x:v>
      </x:c>
      <x:c r="B28" s="262" t="str">
        <x:v>$</x:v>
      </x:c>
      <x:c r="C28" s="283" t="n">
        <x:v>9000</x:v>
      </x:c>
      <x:c r="D28" s="283" t="n">
        <x:v>12000</x:v>
      </x:c>
      <x:c r="E28" s="283" t="n">
        <x:v>15000</x:v>
      </x:c>
      <x:c r="F28" s="283" t="n">
        <x:v>19000</x:v>
      </x:c>
      <x:c r="G28" s="283" t="n">
        <x:v>24000</x:v>
      </x:c>
    </x:row>
    <x:row r="29">
      <x:c r="A29" s="265" t="str">
        <x:v>Founder compensation</x:v>
      </x:c>
      <x:c r="B29" s="265" t="str">
        <x:v>$</x:v>
      </x:c>
      <x:c r="C29" s="285" t="n">
        <x:v>0</x:v>
      </x:c>
      <x:c r="D29" s="285" t="n">
        <x:v>18000</x:v>
      </x:c>
      <x:c r="E29" s="285" t="n">
        <x:v>30000</x:v>
      </x:c>
      <x:c r="F29" s="285" t="n">
        <x:v>42000</x:v>
      </x:c>
      <x:c r="G29" s="285" t="n">
        <x:v>54000</x:v>
      </x:c>
    </x:row>
    <x:row r="30">
      <x:c r="A30" s="262"/>
      <x:c r="B30" s="262"/>
      <x:c r="C30" s="262"/>
      <x:c r="D30" s="262"/>
      <x:c r="E30" s="262"/>
      <x:c r="F30" s="262"/>
      <x:c r="G30" s="262"/>
    </x:row>
    <x:row r="31">
      <x:c r="A31" s="262"/>
      <x:c r="B31" s="262"/>
      <x:c r="C31" s="262"/>
      <x:c r="D31" s="262"/>
      <x:c r="E31" s="262"/>
      <x:c r="F31" s="262"/>
      <x:c r="G31" s="262"/>
    </x:row>
    <x:row r="32" ht="23" customHeight="1">
      <x:c r="A32" s="124" t="str">
        <x:v>BASE CASE</x:v>
      </x:c>
      <x:c r="B32" s="124"/>
      <x:c r="C32" s="124"/>
      <x:c r="D32" s="124"/>
      <x:c r="E32" s="124"/>
      <x:c r="F32" s="124"/>
      <x:c r="G32" s="124"/>
    </x:row>
    <x:row r="33" ht="28" customHeight="1">
      <x:c r="A33" s="134" t="str">
        <x:v>Driver</x:v>
      </x:c>
      <x:c r="B33" s="135" t="str">
        <x:v>Units</x:v>
      </x:c>
      <x:c r="C33" s="135" t="n">
        <x:v>2027</x:v>
      </x:c>
      <x:c r="D33" s="135" t="n">
        <x:v>2028</x:v>
      </x:c>
      <x:c r="E33" s="135" t="n">
        <x:v>2029</x:v>
      </x:c>
      <x:c r="F33" s="135" t="n">
        <x:v>2030</x:v>
      </x:c>
      <x:c r="G33" s="136" t="n">
        <x:v>2031</x:v>
      </x:c>
    </x:row>
    <x:row r="34">
      <x:c r="A34" s="262" t="str">
        <x:v>Units sold</x:v>
      </x:c>
      <x:c r="B34" s="262" t="str">
        <x:v>units</x:v>
      </x:c>
      <x:c r="C34" s="284" t="n">
        <x:v>2000</x:v>
      </x:c>
      <x:c r="D34" s="284" t="n">
        <x:v>5000</x:v>
      </x:c>
      <x:c r="E34" s="284" t="n">
        <x:v>10000</x:v>
      </x:c>
      <x:c r="F34" s="284" t="n">
        <x:v>17000</x:v>
      </x:c>
      <x:c r="G34" s="284" t="n">
        <x:v>26000</x:v>
      </x:c>
    </x:row>
    <x:row r="35">
      <x:c r="A35" s="262" t="str">
        <x:v>MSRP</x:v>
      </x:c>
      <x:c r="B35" s="262" t="str">
        <x:v>$ / unit</x:v>
      </x:c>
      <x:c r="C35" s="282" t="n">
        <x:v>39</x:v>
      </x:c>
      <x:c r="D35" s="282" t="n">
        <x:v>39</x:v>
      </x:c>
      <x:c r="E35" s="282" t="n">
        <x:v>40</x:v>
      </x:c>
      <x:c r="F35" s="282" t="n">
        <x:v>41</x:v>
      </x:c>
      <x:c r="G35" s="282" t="n">
        <x:v>42</x:v>
      </x:c>
    </x:row>
    <x:row r="36">
      <x:c r="A36" s="262" t="str">
        <x:v>DTC mix</x:v>
      </x:c>
      <x:c r="B36" s="262" t="str">
        <x:v>% units</x:v>
      </x:c>
      <x:c r="C36" s="280" t="n">
        <x:v>0.75</x:v>
      </x:c>
      <x:c r="D36" s="280" t="n">
        <x:v>0.6</x:v>
      </x:c>
      <x:c r="E36" s="280" t="n">
        <x:v>0.5</x:v>
      </x:c>
      <x:c r="F36" s="280" t="n">
        <x:v>0.42</x:v>
      </x:c>
      <x:c r="G36" s="280" t="n">
        <x:v>0.35</x:v>
      </x:c>
    </x:row>
    <x:row r="37">
      <x:c r="A37" s="262" t="str">
        <x:v>Retail-direct mix</x:v>
      </x:c>
      <x:c r="B37" s="262" t="str">
        <x:v>% units</x:v>
      </x:c>
      <x:c r="C37" s="280" t="n">
        <x:v>0.15</x:v>
      </x:c>
      <x:c r="D37" s="280" t="n">
        <x:v>0.2</x:v>
      </x:c>
      <x:c r="E37" s="280" t="n">
        <x:v>0.2</x:v>
      </x:c>
      <x:c r="F37" s="280" t="n">
        <x:v>0.2</x:v>
      </x:c>
      <x:c r="G37" s="280" t="n">
        <x:v>0.2</x:v>
      </x:c>
    </x:row>
    <x:row r="38">
      <x:c r="A38" s="262" t="str">
        <x:v>Landed cost</x:v>
      </x:c>
      <x:c r="B38" s="262" t="str">
        <x:v>$ / unit</x:v>
      </x:c>
      <x:c r="C38" s="282" t="n">
        <x:v>12.5</x:v>
      </x:c>
      <x:c r="D38" s="282" t="n">
        <x:v>11.5</x:v>
      </x:c>
      <x:c r="E38" s="282" t="n">
        <x:v>10.5</x:v>
      </x:c>
      <x:c r="F38" s="282" t="n">
        <x:v>9.75</x:v>
      </x:c>
      <x:c r="G38" s="282" t="n">
        <x:v>9.25</x:v>
      </x:c>
    </x:row>
    <x:row r="39">
      <x:c r="A39" s="262" t="str">
        <x:v>Development &amp; art</x:v>
      </x:c>
      <x:c r="B39" s="262" t="str">
        <x:v>$</x:v>
      </x:c>
      <x:c r="C39" s="283" t="n">
        <x:v>30000</x:v>
      </x:c>
      <x:c r="D39" s="283" t="n">
        <x:v>38000</x:v>
      </x:c>
      <x:c r="E39" s="283" t="n">
        <x:v>45000</x:v>
      </x:c>
      <x:c r="F39" s="283" t="n">
        <x:v>52000</x:v>
      </x:c>
      <x:c r="G39" s="283" t="n">
        <x:v>60000</x:v>
      </x:c>
    </x:row>
    <x:row r="40">
      <x:c r="A40" s="262" t="str">
        <x:v>Marketing</x:v>
      </x:c>
      <x:c r="B40" s="262" t="str">
        <x:v>$</x:v>
      </x:c>
      <x:c r="C40" s="283" t="n">
        <x:v>14000</x:v>
      </x:c>
      <x:c r="D40" s="283" t="n">
        <x:v>22000</x:v>
      </x:c>
      <x:c r="E40" s="283" t="n">
        <x:v>32000</x:v>
      </x:c>
      <x:c r="F40" s="283" t="n">
        <x:v>45000</x:v>
      </x:c>
      <x:c r="G40" s="283" t="n">
        <x:v>60000</x:v>
      </x:c>
    </x:row>
    <x:row r="41">
      <x:c r="A41" s="262" t="str">
        <x:v>Overhead</x:v>
      </x:c>
      <x:c r="B41" s="262" t="str">
        <x:v>$</x:v>
      </x:c>
      <x:c r="C41" s="283" t="n">
        <x:v>10000</x:v>
      </x:c>
      <x:c r="D41" s="283" t="n">
        <x:v>15000</x:v>
      </x:c>
      <x:c r="E41" s="283" t="n">
        <x:v>22000</x:v>
      </x:c>
      <x:c r="F41" s="283" t="n">
        <x:v>32000</x:v>
      </x:c>
      <x:c r="G41" s="283" t="n">
        <x:v>45000</x:v>
      </x:c>
    </x:row>
    <x:row r="42">
      <x:c r="A42" s="265" t="str">
        <x:v>Founder compensation</x:v>
      </x:c>
      <x:c r="B42" s="265" t="str">
        <x:v>$</x:v>
      </x:c>
      <x:c r="C42" s="285" t="n">
        <x:v>0</x:v>
      </x:c>
      <x:c r="D42" s="285" t="n">
        <x:v>24000</x:v>
      </x:c>
      <x:c r="E42" s="285" t="n">
        <x:v>48000</x:v>
      </x:c>
      <x:c r="F42" s="285" t="n">
        <x:v>72000</x:v>
      </x:c>
      <x:c r="G42" s="285" t="n">
        <x:v>90000</x:v>
      </x:c>
    </x:row>
    <x:row r="43">
      <x:c r="A43" s="262"/>
      <x:c r="B43" s="262"/>
      <x:c r="C43" s="262"/>
      <x:c r="D43" s="262"/>
      <x:c r="E43" s="262"/>
      <x:c r="F43" s="262"/>
      <x:c r="G43" s="262"/>
    </x:row>
    <x:row r="44">
      <x:c r="A44" s="262"/>
      <x:c r="B44" s="262"/>
      <x:c r="C44" s="262"/>
      <x:c r="D44" s="262"/>
      <x:c r="E44" s="262"/>
      <x:c r="F44" s="262"/>
      <x:c r="G44" s="262"/>
    </x:row>
    <x:row r="45" ht="23" customHeight="1">
      <x:c r="A45" s="124" t="str">
        <x:v>UPSIDE CASE</x:v>
      </x:c>
      <x:c r="B45" s="124"/>
      <x:c r="C45" s="124"/>
      <x:c r="D45" s="124"/>
      <x:c r="E45" s="124"/>
      <x:c r="F45" s="124"/>
      <x:c r="G45" s="124"/>
    </x:row>
    <x:row r="46" ht="28" customHeight="1">
      <x:c r="A46" s="134" t="str">
        <x:v>Driver</x:v>
      </x:c>
      <x:c r="B46" s="135" t="str">
        <x:v>Units</x:v>
      </x:c>
      <x:c r="C46" s="135" t="n">
        <x:v>2027</x:v>
      </x:c>
      <x:c r="D46" s="135" t="n">
        <x:v>2028</x:v>
      </x:c>
      <x:c r="E46" s="135" t="n">
        <x:v>2029</x:v>
      </x:c>
      <x:c r="F46" s="135" t="n">
        <x:v>2030</x:v>
      </x:c>
      <x:c r="G46" s="136" t="n">
        <x:v>2031</x:v>
      </x:c>
    </x:row>
    <x:row r="47">
      <x:c r="A47" s="262" t="str">
        <x:v>Units sold</x:v>
      </x:c>
      <x:c r="B47" s="262" t="str">
        <x:v>units</x:v>
      </x:c>
      <x:c r="C47" s="284" t="n">
        <x:v>3500</x:v>
      </x:c>
      <x:c r="D47" s="284" t="n">
        <x:v>9000</x:v>
      </x:c>
      <x:c r="E47" s="284" t="n">
        <x:v>18000</x:v>
      </x:c>
      <x:c r="F47" s="284" t="n">
        <x:v>32000</x:v>
      </x:c>
      <x:c r="G47" s="284" t="n">
        <x:v>50000</x:v>
      </x:c>
    </x:row>
    <x:row r="48">
      <x:c r="A48" s="262" t="str">
        <x:v>MSRP</x:v>
      </x:c>
      <x:c r="B48" s="262" t="str">
        <x:v>$ / unit</x:v>
      </x:c>
      <x:c r="C48" s="282" t="n">
        <x:v>39</x:v>
      </x:c>
      <x:c r="D48" s="282" t="n">
        <x:v>40</x:v>
      </x:c>
      <x:c r="E48" s="282" t="n">
        <x:v>41</x:v>
      </x:c>
      <x:c r="F48" s="282" t="n">
        <x:v>42</x:v>
      </x:c>
      <x:c r="G48" s="282" t="n">
        <x:v>43</x:v>
      </x:c>
    </x:row>
    <x:row r="49">
      <x:c r="A49" s="262" t="str">
        <x:v>DTC mix</x:v>
      </x:c>
      <x:c r="B49" s="262" t="str">
        <x:v>% units</x:v>
      </x:c>
      <x:c r="C49" s="280" t="n">
        <x:v>0.8</x:v>
      </x:c>
      <x:c r="D49" s="280" t="n">
        <x:v>0.68</x:v>
      </x:c>
      <x:c r="E49" s="280" t="n">
        <x:v>0.58</x:v>
      </x:c>
      <x:c r="F49" s="280" t="n">
        <x:v>0.5</x:v>
      </x:c>
      <x:c r="G49" s="280" t="n">
        <x:v>0.42</x:v>
      </x:c>
    </x:row>
    <x:row r="50">
      <x:c r="A50" s="262" t="str">
        <x:v>Retail-direct mix</x:v>
      </x:c>
      <x:c r="B50" s="262" t="str">
        <x:v>% units</x:v>
      </x:c>
      <x:c r="C50" s="280" t="n">
        <x:v>0.15</x:v>
      </x:c>
      <x:c r="D50" s="280" t="n">
        <x:v>0.17</x:v>
      </x:c>
      <x:c r="E50" s="280" t="n">
        <x:v>0.17</x:v>
      </x:c>
      <x:c r="F50" s="280" t="n">
        <x:v>0.18</x:v>
      </x:c>
      <x:c r="G50" s="280" t="n">
        <x:v>0.18</x:v>
      </x:c>
    </x:row>
    <x:row r="51">
      <x:c r="A51" s="262" t="str">
        <x:v>Landed cost</x:v>
      </x:c>
      <x:c r="B51" s="262" t="str">
        <x:v>$ / unit</x:v>
      </x:c>
      <x:c r="C51" s="282" t="n">
        <x:v>11.5</x:v>
      </x:c>
      <x:c r="D51" s="282" t="n">
        <x:v>10.25</x:v>
      </x:c>
      <x:c r="E51" s="282" t="n">
        <x:v>9.25</x:v>
      </x:c>
      <x:c r="F51" s="282" t="n">
        <x:v>8.5</x:v>
      </x:c>
      <x:c r="G51" s="282" t="n">
        <x:v>8</x:v>
      </x:c>
    </x:row>
    <x:row r="52">
      <x:c r="A52" s="262" t="str">
        <x:v>Development &amp; art</x:v>
      </x:c>
      <x:c r="B52" s="262" t="str">
        <x:v>$</x:v>
      </x:c>
      <x:c r="C52" s="283" t="n">
        <x:v>34000</x:v>
      </x:c>
      <x:c r="D52" s="283" t="n">
        <x:v>45000</x:v>
      </x:c>
      <x:c r="E52" s="283" t="n">
        <x:v>60000</x:v>
      </x:c>
      <x:c r="F52" s="283" t="n">
        <x:v>78000</x:v>
      </x:c>
      <x:c r="G52" s="283" t="n">
        <x:v>100000</x:v>
      </x:c>
    </x:row>
    <x:row r="53">
      <x:c r="A53" s="262" t="str">
        <x:v>Marketing</x:v>
      </x:c>
      <x:c r="B53" s="262" t="str">
        <x:v>$</x:v>
      </x:c>
      <x:c r="C53" s="283" t="n">
        <x:v>20000</x:v>
      </x:c>
      <x:c r="D53" s="283" t="n">
        <x:v>35000</x:v>
      </x:c>
      <x:c r="E53" s="283" t="n">
        <x:v>55000</x:v>
      </x:c>
      <x:c r="F53" s="283" t="n">
        <x:v>80000</x:v>
      </x:c>
      <x:c r="G53" s="283" t="n">
        <x:v>115000</x:v>
      </x:c>
    </x:row>
    <x:row r="54">
      <x:c r="A54" s="262" t="str">
        <x:v>Overhead</x:v>
      </x:c>
      <x:c r="B54" s="262" t="str">
        <x:v>$</x:v>
      </x:c>
      <x:c r="C54" s="283" t="n">
        <x:v>12000</x:v>
      </x:c>
      <x:c r="D54" s="283" t="n">
        <x:v>18000</x:v>
      </x:c>
      <x:c r="E54" s="283" t="n">
        <x:v>28000</x:v>
      </x:c>
      <x:c r="F54" s="283" t="n">
        <x:v>45000</x:v>
      </x:c>
      <x:c r="G54" s="283" t="n">
        <x:v>65000</x:v>
      </x:c>
    </x:row>
    <x:row r="55">
      <x:c r="A55" s="265" t="str">
        <x:v>Founder compensation</x:v>
      </x:c>
      <x:c r="B55" s="265" t="str">
        <x:v>$</x:v>
      </x:c>
      <x:c r="C55" s="285" t="n">
        <x:v>0</x:v>
      </x:c>
      <x:c r="D55" s="285" t="n">
        <x:v>30000</x:v>
      </x:c>
      <x:c r="E55" s="285" t="n">
        <x:v>60000</x:v>
      </x:c>
      <x:c r="F55" s="285" t="n">
        <x:v>96000</x:v>
      </x:c>
      <x:c r="G55" s="285" t="n">
        <x:v>120000</x:v>
      </x:c>
    </x:row>
    <x:row r="56">
      <x:c r="A56" s="262"/>
      <x:c r="B56" s="262"/>
      <x:c r="C56" s="262"/>
      <x:c r="D56" s="262"/>
      <x:c r="E56" s="262"/>
      <x:c r="F56" s="262"/>
      <x:c r="G56" s="262"/>
    </x:row>
    <x:row r="57">
      <x:c r="A57" s="262"/>
      <x:c r="B57" s="262"/>
      <x:c r="C57" s="262"/>
      <x:c r="D57" s="262"/>
      <x:c r="E57" s="262"/>
      <x:c r="F57" s="262"/>
      <x:c r="G57" s="262"/>
    </x:row>
    <x:row r="58">
      <x:c r="A58" s="262"/>
      <x:c r="B58" s="262"/>
      <x:c r="C58" s="262"/>
      <x:c r="D58" s="262"/>
      <x:c r="E58" s="262"/>
      <x:c r="F58" s="262"/>
      <x:c r="G58" s="262"/>
    </x:row>
    <x:row r="59">
      <x:c r="A59" s="262"/>
      <x:c r="B59" s="262"/>
      <x:c r="C59" s="262"/>
      <x:c r="D59" s="262"/>
      <x:c r="E59" s="262"/>
      <x:c r="F59" s="262"/>
      <x:c r="G59" s="262"/>
    </x:row>
    <x:row r="60">
      <x:c r="A60" s="262"/>
      <x:c r="B60" s="262"/>
      <x:c r="C60" s="262"/>
      <x:c r="D60" s="262"/>
      <x:c r="E60" s="262"/>
      <x:c r="F60" s="262"/>
      <x:c r="G60" s="262"/>
    </x:row>
  </x:sheetData>
  <x:mergeCells>
    <x:mergeCell ref="A1:G2"/>
    <x:mergeCell ref="A3:G3"/>
    <x:mergeCell ref="A5:G5"/>
    <x:mergeCell ref="A19:G19"/>
    <x:mergeCell ref="A32:G32"/>
    <x:mergeCell ref="A45:G45"/>
  </x:mergeCells>
  <x:pageMargins left="0.7" right="0.7" top="0.75" bottom="0.75" header="0.3" footer="0.3"/>
  <x:legacyDrawing xmlns:r="http://schemas.openxmlformats.org/officeDocument/2006/relationships" r:id="R5d2f89e371d04fa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121" t="str">
        <x:v>UNIT ECONOMICS &amp; BREAK-EVEN</x:v>
      </x:c>
      <x:c r="B1" s="121"/>
      <x:c r="C1" s="121"/>
      <x:c r="D1" s="121"/>
      <x:c r="E1" s="121"/>
      <x:c r="F1" s="121"/>
      <x:c r="G1" s="121"/>
    </x:row>
    <x:row r="2" ht="34" customHeight="1">
      <x:c r="A2" s="121"/>
      <x:c r="B2" s="121"/>
      <x:c r="C2" s="121"/>
      <x:c r="D2" s="121"/>
      <x:c r="E2" s="121"/>
      <x:c r="F2" s="121"/>
      <x:c r="G2" s="121"/>
    </x:row>
    <x:row r="3">
      <x:c r="A3" s="261" t="str">
        <x:v>Base-case channel economics. Customer postage and sales tax are excluded.</x:v>
      </x:c>
      <x:c r="B3" s="261"/>
      <x:c r="C3" s="261"/>
      <x:c r="D3" s="261"/>
      <x:c r="E3" s="261"/>
      <x:c r="F3" s="261"/>
      <x:c r="G3" s="261"/>
    </x:row>
    <x:row r="4">
      <x:c r="A4" s="262"/>
      <x:c r="B4" s="262"/>
      <x:c r="C4" s="262"/>
      <x:c r="D4" s="262"/>
      <x:c r="E4" s="262"/>
      <x:c r="F4" s="262"/>
      <x:c r="G4" s="262"/>
    </x:row>
    <x:row r="5" ht="23" customHeight="1">
      <x:c r="A5" s="124" t="str">
        <x:v>LAUNCH ECONOMICS — 2027</x:v>
      </x:c>
      <x:c r="B5" s="124"/>
      <x:c r="C5" s="124"/>
      <x:c r="D5" s="124"/>
      <x:c r="E5" s="124"/>
      <x:c r="F5" s="124"/>
      <x:c r="G5" s="124"/>
    </x:row>
    <x:row r="6" ht="28" customHeight="1">
      <x:c r="A6" s="134" t="str">
        <x:v>Channel</x:v>
      </x:c>
      <x:c r="B6" s="135" t="str">
        <x:v>Revenue / Unit</x:v>
      </x:c>
      <x:c r="C6" s="135" t="str">
        <x:v>Landed COGS</x:v>
      </x:c>
      <x:c r="D6" s="135" t="str">
        <x:v>Fees / Reserve</x:v>
      </x:c>
      <x:c r="E6" s="135" t="str">
        <x:v>Handling / Freight</x:v>
      </x:c>
      <x:c r="F6" s="135" t="str">
        <x:v>Contribution / Unit</x:v>
      </x:c>
      <x:c r="G6" s="136" t="str">
        <x:v>Contribution Margin</x:v>
      </x:c>
    </x:row>
    <x:row r="7">
      <x:c r="A7" s="262" t="str">
        <x:v>DTC / Crowdfunding</x:v>
      </x:c>
      <x:c r="B7" s="287" t="n">
        <x:f>'Assumptions'!C35</x:f>
        <x:v>39</x:v>
      </x:c>
      <x:c r="C7" s="287" t="n">
        <x:f>'Assumptions'!C38</x:f>
        <x:v>12.5</x:v>
      </x:c>
      <x:c r="D7" s="287" t="n">
        <x:f>B7*SUM('Assumptions'!$B$7:$B$9)</x:f>
        <x:v>4.29</x:v>
      </x:c>
      <x:c r="E7" s="287" t="n">
        <x:f>'Assumptions'!$B$10</x:f>
        <x:v>3.25</x:v>
      </x:c>
      <x:c r="F7" s="287" t="n">
        <x:f>B7-SUM(C7:E7)</x:f>
        <x:v>18.96</x:v>
      </x:c>
      <x:c r="G7" s="288" t="n">
        <x:f>F7/B7</x:f>
        <x:v>0.48615384615384616</x:v>
      </x:c>
    </x:row>
    <x:row r="8">
      <x:c r="A8" s="262" t="str">
        <x:v>Retail Direct</x:v>
      </x:c>
      <x:c r="B8" s="287" t="n">
        <x:f>'Assumptions'!C35*'Assumptions'!$B$11</x:f>
        <x:v>19.5</x:v>
      </x:c>
      <x:c r="C8" s="287" t="n">
        <x:f>'Assumptions'!C38</x:f>
        <x:v>12.5</x:v>
      </x:c>
      <x:c r="D8" s="287" t="n">
        <x:v>0</x:v>
      </x:c>
      <x:c r="E8" s="287" t="n">
        <x:f>B8*'Assumptions'!$B$13</x:f>
        <x:v>0.585</x:v>
      </x:c>
      <x:c r="F8" s="287" t="n">
        <x:f>B8-SUM(C8:E8)</x:f>
        <x:v>6.414999999999999</x:v>
      </x:c>
      <x:c r="G8" s="288" t="n">
        <x:f>F8/B8</x:f>
        <x:v>0.32897435897435895</x:v>
      </x:c>
    </x:row>
    <x:row r="9">
      <x:c r="A9" s="262" t="str">
        <x:v>Distributor</x:v>
      </x:c>
      <x:c r="B9" s="287" t="n">
        <x:f>'Assumptions'!C35*'Assumptions'!$B$12</x:f>
        <x:v>15.600000000000001</x:v>
      </x:c>
      <x:c r="C9" s="287" t="n">
        <x:f>'Assumptions'!C38</x:f>
        <x:v>12.5</x:v>
      </x:c>
      <x:c r="D9" s="287" t="n">
        <x:v>0</x:v>
      </x:c>
      <x:c r="E9" s="287" t="n">
        <x:f>B9*'Assumptions'!$B$13</x:f>
        <x:v>0.468</x:v>
      </x:c>
      <x:c r="F9" s="287" t="n">
        <x:f>B9-SUM(C9:E9)</x:f>
        <x:v>2.6320000000000014</x:v>
      </x:c>
      <x:c r="G9" s="288" t="n">
        <x:f>F9/B9</x:f>
        <x:v>0.1687179487179488</x:v>
      </x:c>
    </x:row>
    <x:row r="10">
      <x:c r="A10" s="289" t="str">
        <x:v>Weighted Mix</x:v>
      </x:c>
      <x:c r="B10" s="290" t="n">
        <x:f>'Operating Model'!B17/'Operating Model'!B6</x:f>
        <x:v>33.735</x:v>
      </x:c>
      <x:c r="C10" s="290" t="n">
        <x:f>'Operating Model'!B18/'Operating Model'!B6</x:f>
        <x:v>12.5</x:v>
      </x:c>
      <x:c r="D10" s="290" t="n">
        <x:f>SUM('Operating Model'!B19:'Operating Model'!B20)/'Operating Model'!B6</x:f>
        <x:v>3.2175</x:v>
      </x:c>
      <x:c r="E10" s="290" t="n">
        <x:f>SUM('Operating Model'!B21:'Operating Model'!B22)/'Operating Model'!B6</x:f>
        <x:v>2.5720500000000004</x:v>
      </x:c>
      <x:c r="F10" s="290" t="n">
        <x:f>'Operating Model'!B23/'Operating Model'!B6</x:f>
        <x:v>15.445450000000001</x:v>
      </x:c>
      <x:c r="G10" s="291" t="n">
        <x:f>'Operating Model'!B24</x:f>
        <x:v>0.45784645027419596</x:v>
      </x:c>
    </x:row>
    <x:row r="11">
      <x:c r="A11" s="262"/>
      <x:c r="B11" s="262"/>
      <x:c r="C11" s="262"/>
      <x:c r="D11" s="262"/>
      <x:c r="E11" s="262"/>
      <x:c r="F11" s="262"/>
      <x:c r="G11" s="262"/>
    </x:row>
    <x:row r="12">
      <x:c r="A12" s="262"/>
      <x:c r="B12" s="262"/>
      <x:c r="C12" s="262"/>
      <x:c r="D12" s="262"/>
      <x:c r="E12" s="262"/>
      <x:c r="F12" s="262"/>
      <x:c r="G12" s="262"/>
    </x:row>
    <x:row r="13">
      <x:c r="A13" s="262"/>
      <x:c r="B13" s="262"/>
      <x:c r="C13" s="262"/>
      <x:c r="D13" s="262"/>
      <x:c r="E13" s="262"/>
      <x:c r="F13" s="262"/>
      <x:c r="G13" s="262"/>
    </x:row>
    <x:row r="14" ht="23" customHeight="1">
      <x:c r="A14" s="124" t="str">
        <x:v>MATURE ECONOMICS — 2031</x:v>
      </x:c>
      <x:c r="B14" s="124"/>
      <x:c r="C14" s="124"/>
      <x:c r="D14" s="124"/>
      <x:c r="E14" s="124"/>
      <x:c r="F14" s="124"/>
      <x:c r="G14" s="124"/>
    </x:row>
    <x:row r="15" ht="28" customHeight="1">
      <x:c r="A15" s="134" t="str">
        <x:v>Channel</x:v>
      </x:c>
      <x:c r="B15" s="135" t="str">
        <x:v>Revenue / Unit</x:v>
      </x:c>
      <x:c r="C15" s="135" t="str">
        <x:v>Landed COGS</x:v>
      </x:c>
      <x:c r="D15" s="135" t="str">
        <x:v>Fees / Reserve</x:v>
      </x:c>
      <x:c r="E15" s="135" t="str">
        <x:v>Handling / Freight</x:v>
      </x:c>
      <x:c r="F15" s="135" t="str">
        <x:v>Contribution / Unit</x:v>
      </x:c>
      <x:c r="G15" s="136" t="str">
        <x:v>Contribution Margin</x:v>
      </x:c>
    </x:row>
    <x:row r="16">
      <x:c r="A16" s="262" t="str">
        <x:v>DTC / Crowdfunding</x:v>
      </x:c>
      <x:c r="B16" s="287" t="n">
        <x:f>'Assumptions'!G35</x:f>
        <x:v>42</x:v>
      </x:c>
      <x:c r="C16" s="287" t="n">
        <x:f>'Assumptions'!G38</x:f>
        <x:v>9.25</x:v>
      </x:c>
      <x:c r="D16" s="287" t="n">
        <x:f>B16*SUM('Assumptions'!$B$7:$B$9)</x:f>
        <x:v>4.62</x:v>
      </x:c>
      <x:c r="E16" s="287" t="n">
        <x:f>'Assumptions'!$B$10</x:f>
        <x:v>3.25</x:v>
      </x:c>
      <x:c r="F16" s="287" t="n">
        <x:f>B16-SUM(C16:E16)</x:f>
        <x:v>24.88</x:v>
      </x:c>
      <x:c r="G16" s="288" t="n">
        <x:f>F16/B16</x:f>
        <x:v>0.5923809523809523</x:v>
      </x:c>
    </x:row>
    <x:row r="17">
      <x:c r="A17" s="262" t="str">
        <x:v>Retail Direct</x:v>
      </x:c>
      <x:c r="B17" s="287" t="n">
        <x:f>'Assumptions'!G35*'Assumptions'!$B$11</x:f>
        <x:v>21</x:v>
      </x:c>
      <x:c r="C17" s="287" t="n">
        <x:f>'Assumptions'!G38</x:f>
        <x:v>9.25</x:v>
      </x:c>
      <x:c r="D17" s="287" t="n">
        <x:v>0</x:v>
      </x:c>
      <x:c r="E17" s="287" t="n">
        <x:f>B17*'Assumptions'!$B$13</x:f>
        <x:v>0.63</x:v>
      </x:c>
      <x:c r="F17" s="287" t="n">
        <x:f>B17-SUM(C17:E17)</x:f>
        <x:v>11.12</x:v>
      </x:c>
      <x:c r="G17" s="288" t="n">
        <x:f>F17/B17</x:f>
        <x:v>0.5295238095238095</x:v>
      </x:c>
    </x:row>
    <x:row r="18">
      <x:c r="A18" s="262" t="str">
        <x:v>Distributor</x:v>
      </x:c>
      <x:c r="B18" s="287" t="n">
        <x:f>'Assumptions'!G35*'Assumptions'!$B$12</x:f>
        <x:v>16.8</x:v>
      </x:c>
      <x:c r="C18" s="287" t="n">
        <x:f>'Assumptions'!G38</x:f>
        <x:v>9.25</x:v>
      </x:c>
      <x:c r="D18" s="287" t="n">
        <x:v>0</x:v>
      </x:c>
      <x:c r="E18" s="287" t="n">
        <x:f>B18*'Assumptions'!$B$13</x:f>
        <x:v>0.504</x:v>
      </x:c>
      <x:c r="F18" s="287" t="n">
        <x:f>B18-SUM(C18:E18)</x:f>
        <x:v>7.046000000000001</x:v>
      </x:c>
      <x:c r="G18" s="288" t="n">
        <x:f>F18/B18</x:f>
        <x:v>0.41940476190476195</x:v>
      </x:c>
    </x:row>
    <x:row r="19">
      <x:c r="A19" s="289" t="str">
        <x:v>Weighted Mix</x:v>
      </x:c>
      <x:c r="B19" s="290" t="n">
        <x:f>'Operating Model'!F17/'Operating Model'!F6</x:f>
        <x:v>26.46</x:v>
      </x:c>
      <x:c r="C19" s="290" t="n">
        <x:f>'Operating Model'!F18/'Operating Model'!F6</x:f>
        <x:v>9.25</x:v>
      </x:c>
      <x:c r="D19" s="290" t="n">
        <x:f>SUM('Operating Model'!F19:'Operating Model'!F20)/'Operating Model'!F6</x:f>
        <x:v>1.617</x:v>
      </x:c>
      <x:c r="E19" s="290" t="n">
        <x:f>SUM('Operating Model'!F21:'Operating Model'!F22)/'Operating Model'!F6</x:f>
        <x:v>1.4903000000000002</x:v>
      </x:c>
      <x:c r="F19" s="290" t="n">
        <x:f>'Operating Model'!F23/'Operating Model'!F6</x:f>
        <x:v>14.1027</x:v>
      </x:c>
      <x:c r="G19" s="291" t="n">
        <x:f>'Operating Model'!F24</x:f>
        <x:v>0.5329818594104309</x:v>
      </x:c>
    </x:row>
    <x:row r="20">
      <x:c r="A20" s="262"/>
      <x:c r="B20" s="262"/>
      <x:c r="C20" s="262"/>
      <x:c r="D20" s="262"/>
      <x:c r="E20" s="262"/>
      <x:c r="F20" s="262"/>
      <x:c r="G20" s="262"/>
    </x:row>
    <x:row r="21">
      <x:c r="A21" s="262"/>
      <x:c r="B21" s="262"/>
      <x:c r="C21" s="262"/>
      <x:c r="D21" s="262"/>
      <x:c r="E21" s="262"/>
      <x:c r="F21" s="262"/>
      <x:c r="G21" s="262"/>
    </x:row>
    <x:row r="22">
      <x:c r="A22" s="262"/>
      <x:c r="B22" s="262"/>
      <x:c r="C22" s="262"/>
      <x:c r="D22" s="262"/>
      <x:c r="E22" s="262"/>
      <x:c r="F22" s="262"/>
      <x:c r="G22" s="262"/>
    </x:row>
    <x:row r="23" ht="23" customHeight="1">
      <x:c r="A23" s="124" t="str">
        <x:v>BASE-CASE BREAK-EVEN</x:v>
      </x:c>
      <x:c r="B23" s="124"/>
      <x:c r="C23" s="124"/>
      <x:c r="D23" s="124"/>
      <x:c r="E23" s="124"/>
      <x:c r="F23" s="124"/>
      <x:c r="G23" s="124"/>
    </x:row>
    <x:row r="24" ht="28" customHeight="1">
      <x:c r="A24" s="134" t="str">
        <x:v>Metric</x:v>
      </x:c>
      <x:c r="B24" s="135" t="str">
        <x:v>2027</x:v>
      </x:c>
      <x:c r="C24" s="135" t="str">
        <x:v>2031</x:v>
      </x:c>
      <x:c r="D24" s="136" t="str">
        <x:v>Interpretation</x:v>
      </x:c>
      <x:c r="E24" s="262"/>
      <x:c r="F24" s="262"/>
      <x:c r="G24" s="262"/>
    </x:row>
    <x:row r="25" ht="15" hidden="0" customHeight="1">
      <x:c r="A25" s="281" t="str">
        <x:v>Weighted contribution / unit</x:v>
      </x:c>
      <x:c r="B25" s="287" t="n">
        <x:f>F10</x:f>
        <x:v>15.445450000000001</x:v>
      </x:c>
      <x:c r="C25" s="287" t="n">
        <x:f>F19</x:f>
        <x:v>14.1027</x:v>
      </x:c>
      <x:c r="D25" s="281" t="str">
        <x:v>Channel mix matters as much as MSRP</x:v>
      </x:c>
      <x:c r="E25" s="262"/>
      <x:c r="F25" s="262"/>
      <x:c r="G25" s="262"/>
    </x:row>
    <x:row r="26" ht="15" hidden="0" customHeight="1">
      <x:c r="A26" s="281" t="str">
        <x:v>Fixed cash costs before founder comp</x:v>
      </x:c>
      <x:c r="B26" s="263" t="n">
        <x:f>SUM('Operating Model'!B25:B27)</x:f>
        <x:v>54000</x:v>
      </x:c>
      <x:c r="C26" s="263" t="n">
        <x:f>SUM('Operating Model'!F25:F27)</x:f>
        <x:v>165000</x:v>
      </x:c>
      <x:c r="D26" s="281" t="str">
        <x:v>Development, marketing, and overhead</x:v>
      </x:c>
      <x:c r="E26" s="262"/>
      <x:c r="F26" s="262"/>
      <x:c r="G26" s="262"/>
    </x:row>
    <x:row r="27" ht="15" hidden="0" customHeight="1">
      <x:c r="A27" s="281" t="str">
        <x:v>Break-even units before founder comp</x:v>
      </x:c>
      <x:c r="B27" s="264" t="n">
        <x:f>B26/B25</x:f>
        <x:v>3496.1752490215563</x:v>
      </x:c>
      <x:c r="C27" s="264" t="n">
        <x:f>C26/C25</x:f>
        <x:v>11699.8872556319</x:v>
      </x:c>
      <x:c r="D27" s="281" t="str">
        <x:v>First-year base plan is below this level</x:v>
      </x:c>
      <x:c r="E27" s="262"/>
      <x:c r="F27" s="262"/>
      <x:c r="G27" s="262"/>
    </x:row>
    <x:row r="28" ht="15" hidden="0" customHeight="1">
      <x:c r="A28" s="286" t="str">
        <x:v>Break-even units after founder comp</x:v>
      </x:c>
      <x:c r="B28" s="292" t="n">
        <x:f>(B26+'Operating Model'!B28)/B25</x:f>
        <x:v>3496.1752490215563</x:v>
      </x:c>
      <x:c r="C28" s="292" t="n">
        <x:f>(C26+'Operating Model'!F28)/C25</x:f>
        <x:v>18081.643940522026</x:v>
      </x:c>
      <x:c r="D28" s="286" t="str">
        <x:v>Mature base plan exceeds this level</x:v>
      </x:c>
      <x:c r="E28" s="262"/>
      <x:c r="F28" s="262"/>
      <x:c r="G28" s="262"/>
    </x:row>
    <x:row r="29">
      <x:c r="A29" s="262"/>
      <x:c r="B29" s="262"/>
      <x:c r="C29" s="262"/>
      <x:c r="D29" s="262"/>
      <x:c r="E29" s="262"/>
      <x:c r="F29" s="262"/>
      <x:c r="G29" s="262"/>
    </x:row>
    <x:row r="30">
      <x:c r="A30" s="262"/>
      <x:c r="B30" s="262"/>
      <x:c r="C30" s="262"/>
      <x:c r="D30" s="262"/>
      <x:c r="E30" s="262"/>
      <x:c r="F30" s="262"/>
      <x:c r="G30" s="262"/>
    </x:row>
    <x:row r="31">
      <x:c r="A31" s="262"/>
      <x:c r="B31" s="262"/>
      <x:c r="C31" s="262"/>
      <x:c r="D31" s="262"/>
      <x:c r="E31" s="262"/>
      <x:c r="F31" s="262"/>
      <x:c r="G31" s="262"/>
    </x:row>
    <x:row r="32">
      <x:c r="A32" s="262"/>
      <x:c r="B32" s="262"/>
      <x:c r="C32" s="262"/>
      <x:c r="D32" s="262"/>
      <x:c r="E32" s="262"/>
      <x:c r="F32" s="262"/>
      <x:c r="G32" s="262"/>
    </x:row>
  </x:sheetData>
  <x:mergeCells>
    <x:mergeCell ref="A1:G2"/>
    <x:mergeCell ref="A3:G3"/>
    <x:mergeCell ref="A5:G5"/>
    <x:mergeCell ref="A14:G14"/>
    <x:mergeCell ref="A23:G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121" t="str">
        <x:v>FIVE-YEAR OPERATING MODEL</x:v>
      </x:c>
      <x:c r="B1" s="121"/>
      <x:c r="C1" s="121"/>
      <x:c r="D1" s="121"/>
      <x:c r="E1" s="121"/>
      <x:c r="F1" s="121"/>
    </x:row>
    <x:row r="2" ht="34" customHeight="1">
      <x:c r="A2" s="121"/>
      <x:c r="B2" s="121"/>
      <x:c r="C2" s="121"/>
      <x:c r="D2" s="121"/>
      <x:c r="E2" s="121"/>
      <x:c r="F2" s="121"/>
    </x:row>
    <x:row r="3">
      <x:c r="A3" s="261" t="str">
        <x:v>Revenue excludes sales tax and customer-paid shipping. Green formulas are links; black formulas are calculations.</x:v>
      </x:c>
      <x:c r="B3" s="261"/>
      <x:c r="C3" s="261"/>
      <x:c r="D3" s="261"/>
      <x:c r="E3" s="261"/>
      <x:c r="F3" s="261"/>
    </x:row>
    <x:row r="4" ht="23" customHeight="1">
      <x:c r="A4" s="124" t="str">
        <x:v>BASE CASE</x:v>
      </x:c>
      <x:c r="B4" s="124"/>
      <x:c r="C4" s="124"/>
      <x:c r="D4" s="124"/>
      <x:c r="E4" s="124"/>
      <x:c r="F4" s="124"/>
    </x:row>
    <x:row r="5" ht="28" customHeight="1">
      <x:c r="A5" s="134" t="str">
        <x:v>$ unless noted</x:v>
      </x:c>
      <x:c r="B5" s="135" t="n">
        <x:v>2027</x:v>
      </x:c>
      <x:c r="C5" s="135" t="n">
        <x:v>2028</x:v>
      </x:c>
      <x:c r="D5" s="135" t="n">
        <x:v>2029</x:v>
      </x:c>
      <x:c r="E5" s="135" t="n">
        <x:v>2030</x:v>
      </x:c>
      <x:c r="F5" s="136" t="n">
        <x:v>2031</x:v>
      </x:c>
    </x:row>
    <x:row r="6">
      <x:c r="A6" s="262" t="str">
        <x:v>Units Sold</x:v>
      </x:c>
      <x:c r="B6" s="293" t="n">
        <x:f>'Assumptions'!C34</x:f>
        <x:v>2000</x:v>
      </x:c>
      <x:c r="C6" s="293" t="n">
        <x:f>'Assumptions'!D34</x:f>
        <x:v>5000</x:v>
      </x:c>
      <x:c r="D6" s="293" t="n">
        <x:f>'Assumptions'!E34</x:f>
        <x:v>10000</x:v>
      </x:c>
      <x:c r="E6" s="293" t="n">
        <x:f>'Assumptions'!F34</x:f>
        <x:v>17000</x:v>
      </x:c>
      <x:c r="F6" s="293" t="n">
        <x:f>'Assumptions'!G34</x:f>
        <x:v>26000</x:v>
      </x:c>
    </x:row>
    <x:row r="7">
      <x:c r="A7" s="262" t="str">
        <x:v>MSRP / Unit</x:v>
      </x:c>
      <x:c r="B7" s="294" t="n">
        <x:f>'Assumptions'!C35</x:f>
        <x:v>39</x:v>
      </x:c>
      <x:c r="C7" s="294" t="n">
        <x:f>'Assumptions'!D35</x:f>
        <x:v>39</x:v>
      </x:c>
      <x:c r="D7" s="294" t="n">
        <x:f>'Assumptions'!E35</x:f>
        <x:v>40</x:v>
      </x:c>
      <x:c r="E7" s="294" t="n">
        <x:f>'Assumptions'!F35</x:f>
        <x:v>41</x:v>
      </x:c>
      <x:c r="F7" s="294" t="n">
        <x:f>'Assumptions'!G35</x:f>
        <x:v>42</x:v>
      </x:c>
    </x:row>
    <x:row r="8">
      <x:c r="A8" s="262" t="str">
        <x:v>DTC Mix</x:v>
      </x:c>
      <x:c r="B8" s="295" t="n">
        <x:f>'Assumptions'!C36</x:f>
        <x:v>0.75</x:v>
      </x:c>
      <x:c r="C8" s="295" t="n">
        <x:f>'Assumptions'!D36</x:f>
        <x:v>0.6</x:v>
      </x:c>
      <x:c r="D8" s="295" t="n">
        <x:f>'Assumptions'!E36</x:f>
        <x:v>0.5</x:v>
      </x:c>
      <x:c r="E8" s="295" t="n">
        <x:f>'Assumptions'!F36</x:f>
        <x:v>0.42</x:v>
      </x:c>
      <x:c r="F8" s="295" t="n">
        <x:f>'Assumptions'!G36</x:f>
        <x:v>0.35</x:v>
      </x:c>
    </x:row>
    <x:row r="9">
      <x:c r="A9" s="262" t="str">
        <x:v>Retail-Direct Mix</x:v>
      </x:c>
      <x:c r="B9" s="295" t="n">
        <x:f>'Assumptions'!C37</x:f>
        <x:v>0.15</x:v>
      </x:c>
      <x:c r="C9" s="295" t="n">
        <x:f>'Assumptions'!D37</x:f>
        <x:v>0.2</x:v>
      </x:c>
      <x:c r="D9" s="295" t="n">
        <x:f>'Assumptions'!E37</x:f>
        <x:v>0.2</x:v>
      </x:c>
      <x:c r="E9" s="295" t="n">
        <x:f>'Assumptions'!F37</x:f>
        <x:v>0.2</x:v>
      </x:c>
      <x:c r="F9" s="295" t="n">
        <x:f>'Assumptions'!G37</x:f>
        <x:v>0.2</x:v>
      </x:c>
    </x:row>
    <x:row r="10">
      <x:c r="A10" s="262" t="str">
        <x:v>Distributor Mix</x:v>
      </x:c>
      <x:c r="B10" s="288" t="n">
        <x:f>1-B8-B9</x:f>
        <x:v>0.1</x:v>
      </x:c>
      <x:c r="C10" s="288" t="n">
        <x:f>1-C8-C9</x:f>
        <x:v>0.2</x:v>
      </x:c>
      <x:c r="D10" s="288" t="n">
        <x:f>1-D8-D9</x:f>
        <x:v>0.3</x:v>
      </x:c>
      <x:c r="E10" s="288" t="n">
        <x:f>1-E8-E9</x:f>
        <x:v>0.38000000000000006</x:v>
      </x:c>
      <x:c r="F10" s="288" t="n">
        <x:f>1-F8-F9</x:f>
        <x:v>0.45</x:v>
      </x:c>
    </x:row>
    <x:row r="11">
      <x:c r="A11" s="262" t="str">
        <x:v>DTC Units</x:v>
      </x:c>
      <x:c r="B11" s="264" t="n">
        <x:f>B6*B8</x:f>
        <x:v>1500</x:v>
      </x:c>
      <x:c r="C11" s="264" t="n">
        <x:f>C6*C8</x:f>
        <x:v>3000</x:v>
      </x:c>
      <x:c r="D11" s="264" t="n">
        <x:f>D6*D8</x:f>
        <x:v>5000</x:v>
      </x:c>
      <x:c r="E11" s="264" t="n">
        <x:f>E6*E8</x:f>
        <x:v>7140</x:v>
      </x:c>
      <x:c r="F11" s="264" t="n">
        <x:f>F6*F8</x:f>
        <x:v>9100</x:v>
      </x:c>
    </x:row>
    <x:row r="12">
      <x:c r="A12" s="262" t="str">
        <x:v>Retail-Direct Units</x:v>
      </x:c>
      <x:c r="B12" s="264" t="n">
        <x:f>B6*B9</x:f>
        <x:v>300</x:v>
      </x:c>
      <x:c r="C12" s="264" t="n">
        <x:f>C6*C9</x:f>
        <x:v>1000</x:v>
      </x:c>
      <x:c r="D12" s="264" t="n">
        <x:f>D6*D9</x:f>
        <x:v>2000</x:v>
      </x:c>
      <x:c r="E12" s="264" t="n">
        <x:f>E6*E9</x:f>
        <x:v>3400</x:v>
      </x:c>
      <x:c r="F12" s="264" t="n">
        <x:f>F6*F9</x:f>
        <x:v>5200</x:v>
      </x:c>
    </x:row>
    <x:row r="13">
      <x:c r="A13" s="262" t="str">
        <x:v>Distributor Units</x:v>
      </x:c>
      <x:c r="B13" s="264" t="n">
        <x:f>B6*B10</x:f>
        <x:v>200</x:v>
      </x:c>
      <x:c r="C13" s="264" t="n">
        <x:f>C6*C10</x:f>
        <x:v>1000</x:v>
      </x:c>
      <x:c r="D13" s="264" t="n">
        <x:f>D6*D10</x:f>
        <x:v>3000</x:v>
      </x:c>
      <x:c r="E13" s="264" t="n">
        <x:f>E6*E10</x:f>
        <x:v>6460.000000000001</x:v>
      </x:c>
      <x:c r="F13" s="264" t="n">
        <x:f>F6*F10</x:f>
        <x:v>11700</x:v>
      </x:c>
    </x:row>
    <x:row r="14">
      <x:c r="A14" s="296" t="str">
        <x:v>DTC Net Sales</x:v>
      </x:c>
      <x:c r="B14" s="297" t="n">
        <x:f>B11*B7</x:f>
        <x:v>58500</x:v>
      </x:c>
      <x:c r="C14" s="297" t="n">
        <x:f>C11*C7</x:f>
        <x:v>117000</x:v>
      </x:c>
      <x:c r="D14" s="297" t="n">
        <x:f>D11*D7</x:f>
        <x:v>200000</x:v>
      </x:c>
      <x:c r="E14" s="297" t="n">
        <x:f>E11*E7</x:f>
        <x:v>292740</x:v>
      </x:c>
      <x:c r="F14" s="297" t="n">
        <x:f>F11*F7</x:f>
        <x:v>382200</x:v>
      </x:c>
    </x:row>
    <x:row r="15">
      <x:c r="A15" s="262" t="str">
        <x:v>Retail-Direct Net Sales</x:v>
      </x:c>
      <x:c r="B15" s="263" t="n">
        <x:f>B12*B7*'Assumptions'!$B$11</x:f>
        <x:v>5850</x:v>
      </x:c>
      <x:c r="C15" s="263" t="n">
        <x:f>C12*C7*'Assumptions'!$B$11</x:f>
        <x:v>19500</x:v>
      </x:c>
      <x:c r="D15" s="263" t="n">
        <x:f>D12*D7*'Assumptions'!$B$11</x:f>
        <x:v>40000</x:v>
      </x:c>
      <x:c r="E15" s="263" t="n">
        <x:f>E12*E7*'Assumptions'!$B$11</x:f>
        <x:v>69700</x:v>
      </x:c>
      <x:c r="F15" s="263" t="n">
        <x:f>F12*F7*'Assumptions'!$B$11</x:f>
        <x:v>109200</x:v>
      </x:c>
    </x:row>
    <x:row r="16">
      <x:c r="A16" s="262" t="str">
        <x:v>Distributor Net Sales</x:v>
      </x:c>
      <x:c r="B16" s="263" t="n">
        <x:f>B13*B7*'Assumptions'!$B$12</x:f>
        <x:v>3120</x:v>
      </x:c>
      <x:c r="C16" s="263" t="n">
        <x:f>C13*C7*'Assumptions'!$B$12</x:f>
        <x:v>15600</x:v>
      </x:c>
      <x:c r="D16" s="263" t="n">
        <x:f>D13*D7*'Assumptions'!$B$12</x:f>
        <x:v>48000</x:v>
      </x:c>
      <x:c r="E16" s="263" t="n">
        <x:f>E13*E7*'Assumptions'!$B$12</x:f>
        <x:v>105944.00000000003</x:v>
      </x:c>
      <x:c r="F16" s="263" t="n">
        <x:f>F13*F7*'Assumptions'!$B$12</x:f>
        <x:v>196560</x:v>
      </x:c>
    </x:row>
    <x:row r="17">
      <x:c r="A17" s="298" t="str">
        <x:v>Net Revenue</x:v>
      </x:c>
      <x:c r="B17" s="299" t="n">
        <x:f>SUM(B14:B16)</x:f>
        <x:v>67470</x:v>
      </x:c>
      <x:c r="C17" s="299" t="n">
        <x:f>SUM(C14:C16)</x:f>
        <x:v>152100</x:v>
      </x:c>
      <x:c r="D17" s="299" t="n">
        <x:f>SUM(D14:D16)</x:f>
        <x:v>288000</x:v>
      </x:c>
      <x:c r="E17" s="299" t="n">
        <x:f>SUM(E14:E16)</x:f>
        <x:v>468384</x:v>
      </x:c>
      <x:c r="F17" s="299" t="n">
        <x:f>SUM(F14:F16)</x:f>
        <x:v>687960</x:v>
      </x:c>
    </x:row>
    <x:row r="18">
      <x:c r="A18" s="262" t="str">
        <x:v>Landed COGS</x:v>
      </x:c>
      <x:c r="B18" s="263" t="n">
        <x:f>B6*'Assumptions'!C38</x:f>
        <x:v>25000</x:v>
      </x:c>
      <x:c r="C18" s="263" t="n">
        <x:f>C6*'Assumptions'!D38</x:f>
        <x:v>57500</x:v>
      </x:c>
      <x:c r="D18" s="263" t="n">
        <x:f>D6*'Assumptions'!E38</x:f>
        <x:v>105000</x:v>
      </x:c>
      <x:c r="E18" s="263" t="n">
        <x:f>E6*'Assumptions'!F38</x:f>
        <x:v>165750</x:v>
      </x:c>
      <x:c r="F18" s="263" t="n">
        <x:f>F6*'Assumptions'!G38</x:f>
        <x:v>240500</x:v>
      </x:c>
    </x:row>
    <x:row r="19">
      <x:c r="A19" s="262" t="str">
        <x:v>Platform + Payment Fees</x:v>
      </x:c>
      <x:c r="B19" s="263" t="n">
        <x:f>B14*('Assumptions'!$B$7+'Assumptions'!$B$8)</x:f>
        <x:v>5265</x:v>
      </x:c>
      <x:c r="C19" s="263" t="n">
        <x:f>C14*('Assumptions'!$B$7+'Assumptions'!$B$8)</x:f>
        <x:v>10530</x:v>
      </x:c>
      <x:c r="D19" s="263" t="n">
        <x:f>D14*('Assumptions'!$B$7+'Assumptions'!$B$8)</x:f>
        <x:v>18000</x:v>
      </x:c>
      <x:c r="E19" s="263" t="n">
        <x:f>E14*('Assumptions'!$B$7+'Assumptions'!$B$8)</x:f>
        <x:v>26346.6</x:v>
      </x:c>
      <x:c r="F19" s="263" t="n">
        <x:f>F14*('Assumptions'!$B$7+'Assumptions'!$B$8)</x:f>
        <x:v>34398</x:v>
      </x:c>
    </x:row>
    <x:row r="20">
      <x:c r="A20" s="262" t="str">
        <x:v>Refund Reserve</x:v>
      </x:c>
      <x:c r="B20" s="263" t="n">
        <x:f>B14*'Assumptions'!$B$9</x:f>
        <x:v>1170</x:v>
      </x:c>
      <x:c r="C20" s="263" t="n">
        <x:f>C14*'Assumptions'!$B$9</x:f>
        <x:v>2340</x:v>
      </x:c>
      <x:c r="D20" s="263" t="n">
        <x:f>D14*'Assumptions'!$B$9</x:f>
        <x:v>4000</x:v>
      </x:c>
      <x:c r="E20" s="263" t="n">
        <x:f>E14*'Assumptions'!$B$9</x:f>
        <x:v>5854.8</x:v>
      </x:c>
      <x:c r="F20" s="263" t="n">
        <x:f>F14*'Assumptions'!$B$9</x:f>
        <x:v>7644</x:v>
      </x:c>
    </x:row>
    <x:row r="21">
      <x:c r="A21" s="262" t="str">
        <x:v>DTC Pick/Pack</x:v>
      </x:c>
      <x:c r="B21" s="263" t="n">
        <x:f>B11*'Assumptions'!$B$10</x:f>
        <x:v>4875</x:v>
      </x:c>
      <x:c r="C21" s="263" t="n">
        <x:f>C11*'Assumptions'!$B$10</x:f>
        <x:v>9750</x:v>
      </x:c>
      <x:c r="D21" s="263" t="n">
        <x:f>D11*'Assumptions'!$B$10</x:f>
        <x:v>16250</x:v>
      </x:c>
      <x:c r="E21" s="263" t="n">
        <x:f>E11*'Assumptions'!$B$10</x:f>
        <x:v>23205</x:v>
      </x:c>
      <x:c r="F21" s="263" t="n">
        <x:f>F11*'Assumptions'!$B$10</x:f>
        <x:v>29575</x:v>
      </x:c>
    </x:row>
    <x:row r="22">
      <x:c r="A22" s="262" t="str">
        <x:v>Wholesale Freight</x:v>
      </x:c>
      <x:c r="B22" s="263" t="n">
        <x:f>(B15+B16)*'Assumptions'!$B$13</x:f>
        <x:v>269.09999999999997</x:v>
      </x:c>
      <x:c r="C22" s="263" t="n">
        <x:f>(C15+C16)*'Assumptions'!$B$13</x:f>
        <x:v>1053</x:v>
      </x:c>
      <x:c r="D22" s="263" t="n">
        <x:f>(D15+D16)*'Assumptions'!$B$13</x:f>
        <x:v>2640</x:v>
      </x:c>
      <x:c r="E22" s="263" t="n">
        <x:f>(E15+E16)*'Assumptions'!$B$13</x:f>
        <x:v>5269.320000000001</x:v>
      </x:c>
      <x:c r="F22" s="263" t="n">
        <x:f>(F15+F16)*'Assumptions'!$B$13</x:f>
        <x:v>9172.8</x:v>
      </x:c>
    </x:row>
    <x:row r="23">
      <x:c r="A23" s="298" t="str">
        <x:v>Contribution Profit</x:v>
      </x:c>
      <x:c r="B23" s="299" t="n">
        <x:f>B17-SUM(B18:B22)</x:f>
        <x:v>30890.9</x:v>
      </x:c>
      <x:c r="C23" s="299" t="n">
        <x:f>C17-SUM(C18:C22)</x:f>
        <x:v>70927</x:v>
      </x:c>
      <x:c r="D23" s="299" t="n">
        <x:f>D17-SUM(D18:D22)</x:f>
        <x:v>142110</x:v>
      </x:c>
      <x:c r="E23" s="299" t="n">
        <x:f>E17-SUM(E18:E22)</x:f>
        <x:v>241958.28</x:v>
      </x:c>
      <x:c r="F23" s="299" t="n">
        <x:f>F17-SUM(F18:F22)</x:f>
        <x:v>366670.2</x:v>
      </x:c>
    </x:row>
    <x:row r="24">
      <x:c r="A24" s="300" t="str">
        <x:v>Contribution Margin</x:v>
      </x:c>
      <x:c r="B24" s="301" t="n">
        <x:f>B23/B17</x:f>
        <x:v>0.45784645027419596</x:v>
      </x:c>
      <x:c r="C24" s="301" t="n">
        <x:f>C23/C17</x:f>
        <x:v>0.4663182117028271</x:v>
      </x:c>
      <x:c r="D24" s="301" t="n">
        <x:f>D23/D17</x:f>
        <x:v>0.4934375</x:v>
      </x:c>
      <x:c r="E24" s="301" t="n">
        <x:f>E23/E17</x:f>
        <x:v>0.5165810104529617</x:v>
      </x:c>
      <x:c r="F24" s="301" t="n">
        <x:f>F23/F17</x:f>
        <x:v>0.5329818594104309</x:v>
      </x:c>
    </x:row>
    <x:row r="25">
      <x:c r="A25" s="262" t="str">
        <x:v>Development &amp; Art</x:v>
      </x:c>
      <x:c r="B25" s="302" t="n">
        <x:f>'Assumptions'!C39</x:f>
        <x:v>30000</x:v>
      </x:c>
      <x:c r="C25" s="302" t="n">
        <x:f>'Assumptions'!D39</x:f>
        <x:v>38000</x:v>
      </x:c>
      <x:c r="D25" s="302" t="n">
        <x:f>'Assumptions'!E39</x:f>
        <x:v>45000</x:v>
      </x:c>
      <x:c r="E25" s="302" t="n">
        <x:f>'Assumptions'!F39</x:f>
        <x:v>52000</x:v>
      </x:c>
      <x:c r="F25" s="302" t="n">
        <x:f>'Assumptions'!G39</x:f>
        <x:v>60000</x:v>
      </x:c>
    </x:row>
    <x:row r="26">
      <x:c r="A26" s="262" t="str">
        <x:v>Marketing</x:v>
      </x:c>
      <x:c r="B26" s="302" t="n">
        <x:f>'Assumptions'!C40</x:f>
        <x:v>14000</x:v>
      </x:c>
      <x:c r="C26" s="302" t="n">
        <x:f>'Assumptions'!D40</x:f>
        <x:v>22000</x:v>
      </x:c>
      <x:c r="D26" s="302" t="n">
        <x:f>'Assumptions'!E40</x:f>
        <x:v>32000</x:v>
      </x:c>
      <x:c r="E26" s="302" t="n">
        <x:f>'Assumptions'!F40</x:f>
        <x:v>45000</x:v>
      </x:c>
      <x:c r="F26" s="302" t="n">
        <x:f>'Assumptions'!G40</x:f>
        <x:v>60000</x:v>
      </x:c>
    </x:row>
    <x:row r="27">
      <x:c r="A27" s="262" t="str">
        <x:v>Overhead</x:v>
      </x:c>
      <x:c r="B27" s="302" t="n">
        <x:f>'Assumptions'!C41</x:f>
        <x:v>10000</x:v>
      </x:c>
      <x:c r="C27" s="302" t="n">
        <x:f>'Assumptions'!D41</x:f>
        <x:v>15000</x:v>
      </x:c>
      <x:c r="D27" s="302" t="n">
        <x:f>'Assumptions'!E41</x:f>
        <x:v>22000</x:v>
      </x:c>
      <x:c r="E27" s="302" t="n">
        <x:f>'Assumptions'!F41</x:f>
        <x:v>32000</x:v>
      </x:c>
      <x:c r="F27" s="302" t="n">
        <x:f>'Assumptions'!G41</x:f>
        <x:v>45000</x:v>
      </x:c>
    </x:row>
    <x:row r="28">
      <x:c r="A28" s="262" t="str">
        <x:v>Founder Compensation</x:v>
      </x:c>
      <x:c r="B28" s="302" t="n">
        <x:f>'Assumptions'!C42</x:f>
        <x:v>0</x:v>
      </x:c>
      <x:c r="C28" s="302" t="n">
        <x:f>'Assumptions'!D42</x:f>
        <x:v>24000</x:v>
      </x:c>
      <x:c r="D28" s="302" t="n">
        <x:f>'Assumptions'!E42</x:f>
        <x:v>48000</x:v>
      </x:c>
      <x:c r="E28" s="302" t="n">
        <x:f>'Assumptions'!F42</x:f>
        <x:v>72000</x:v>
      </x:c>
      <x:c r="F28" s="302" t="n">
        <x:f>'Assumptions'!G42</x:f>
        <x:v>90000</x:v>
      </x:c>
    </x:row>
    <x:row r="29">
      <x:c r="A29" s="298" t="str">
        <x:v>EBITDA before Founder Comp</x:v>
      </x:c>
      <x:c r="B29" s="299" t="n">
        <x:f>B23-SUM(B25:B27)</x:f>
        <x:v>-23109.1</x:v>
      </x:c>
      <x:c r="C29" s="299" t="n">
        <x:f>C23-SUM(C25:C27)</x:f>
        <x:v>-4073</x:v>
      </x:c>
      <x:c r="D29" s="299" t="n">
        <x:f>D23-SUM(D25:D27)</x:f>
        <x:v>43110</x:v>
      </x:c>
      <x:c r="E29" s="299" t="n">
        <x:f>E23-SUM(E25:E27)</x:f>
        <x:v>112958.28</x:v>
      </x:c>
      <x:c r="F29" s="299" t="n">
        <x:f>F23-SUM(F25:F27)</x:f>
        <x:v>201670.2</x:v>
      </x:c>
    </x:row>
    <x:row r="30">
      <x:c r="A30" s="300" t="str">
        <x:v>EBITDA</x:v>
      </x:c>
      <x:c r="B30" s="303" t="n">
        <x:f>B29-B28</x:f>
        <x:v>-23109.1</x:v>
      </x:c>
      <x:c r="C30" s="303" t="n">
        <x:f>C29-C28</x:f>
        <x:v>-28073</x:v>
      </x:c>
      <x:c r="D30" s="303" t="n">
        <x:f>D29-D28</x:f>
        <x:v>-4890</x:v>
      </x:c>
      <x:c r="E30" s="303" t="n">
        <x:f>E29-E28</x:f>
        <x:v>40958.28</x:v>
      </x:c>
      <x:c r="F30" s="303" t="n">
        <x:f>F29-F28</x:f>
        <x:v>111670.20000000001</x:v>
      </x:c>
    </x:row>
    <x:row r="31">
      <x:c r="A31" s="300" t="str">
        <x:v>EBITDA Margin</x:v>
      </x:c>
      <x:c r="B31" s="301" t="n">
        <x:f>B30/B17</x:f>
        <x:v>-0.3425092633763154</x:v>
      </x:c>
      <x:c r="C31" s="301" t="n">
        <x:f>C30/C17</x:f>
        <x:v>-0.18456936226166995</x:v>
      </x:c>
      <x:c r="D31" s="301" t="n">
        <x:f>D30/D17</x:f>
        <x:v>-0.016979166666666667</x:v>
      </x:c>
      <x:c r="E31" s="301" t="n">
        <x:f>E30/E17</x:f>
        <x:v>0.08744594179135068</x:v>
      </x:c>
      <x:c r="F31" s="301" t="n">
        <x:f>F30/F17</x:f>
        <x:v>0.16232077446363163</x:v>
      </x:c>
    </x:row>
    <x:row r="32">
      <x:c r="A32" s="304" t="str">
        <x:v>Cumulative EBITDA</x:v>
      </x:c>
      <x:c r="B32" s="305" t="n">
        <x:f>B30</x:f>
        <x:v>-23109.1</x:v>
      </x:c>
      <x:c r="C32" s="305" t="n">
        <x:f>B32+C30</x:f>
        <x:v>-51182.1</x:v>
      </x:c>
      <x:c r="D32" s="305" t="n">
        <x:f>C32+D30</x:f>
        <x:v>-56072.1</x:v>
      </x:c>
      <x:c r="E32" s="305" t="n">
        <x:f>D32+E30</x:f>
        <x:v>-15113.82</x:v>
      </x:c>
      <x:c r="F32" s="305" t="n">
        <x:f>E32+F30</x:f>
        <x:v>96556.38</x:v>
      </x:c>
    </x:row>
    <x:row r="33">
      <x:c r="A33" s="262"/>
      <x:c r="B33" s="262"/>
      <x:c r="C33" s="262"/>
      <x:c r="D33" s="262"/>
      <x:c r="E33" s="262"/>
      <x:c r="F33" s="262"/>
    </x:row>
    <x:row r="34">
      <x:c r="A34" s="262"/>
      <x:c r="B34" s="262"/>
      <x:c r="C34" s="262"/>
      <x:c r="D34" s="262"/>
      <x:c r="E34" s="262"/>
      <x:c r="F34" s="262"/>
    </x:row>
    <x:row r="35">
      <x:c r="A35" s="262"/>
      <x:c r="B35" s="262"/>
      <x:c r="C35" s="262"/>
      <x:c r="D35" s="262"/>
      <x:c r="E35" s="262"/>
      <x:c r="F35" s="262"/>
    </x:row>
    <x:row r="36" ht="23" customHeight="1">
      <x:c r="A36" s="124" t="str">
        <x:v>CONSERVATIVE CASE</x:v>
      </x:c>
      <x:c r="B36" s="124"/>
      <x:c r="C36" s="124"/>
      <x:c r="D36" s="124"/>
      <x:c r="E36" s="124"/>
      <x:c r="F36" s="124"/>
    </x:row>
    <x:row r="37" ht="28" customHeight="1">
      <x:c r="A37" s="134" t="str">
        <x:v>$ unless noted</x:v>
      </x:c>
      <x:c r="B37" s="135" t="n">
        <x:v>2027</x:v>
      </x:c>
      <x:c r="C37" s="135" t="n">
        <x:v>2028</x:v>
      </x:c>
      <x:c r="D37" s="135" t="n">
        <x:v>2029</x:v>
      </x:c>
      <x:c r="E37" s="135" t="n">
        <x:v>2030</x:v>
      </x:c>
      <x:c r="F37" s="136" t="n">
        <x:v>2031</x:v>
      </x:c>
    </x:row>
    <x:row r="38">
      <x:c r="A38" s="262" t="str">
        <x:v>Units Sold</x:v>
      </x:c>
      <x:c r="B38" s="293" t="n">
        <x:f>'Assumptions'!C21</x:f>
        <x:v>1000</x:v>
      </x:c>
      <x:c r="C38" s="293" t="n">
        <x:f>'Assumptions'!D21</x:f>
        <x:v>2500</x:v>
      </x:c>
      <x:c r="D38" s="293" t="n">
        <x:f>'Assumptions'!E21</x:f>
        <x:v>5000</x:v>
      </x:c>
      <x:c r="E38" s="293" t="n">
        <x:f>'Assumptions'!F21</x:f>
        <x:v>8000</x:v>
      </x:c>
      <x:c r="F38" s="293" t="n">
        <x:f>'Assumptions'!G21</x:f>
        <x:v>12000</x:v>
      </x:c>
    </x:row>
    <x:row r="39">
      <x:c r="A39" s="262" t="str">
        <x:v>MSRP / Unit</x:v>
      </x:c>
      <x:c r="B39" s="294" t="n">
        <x:f>'Assumptions'!C22</x:f>
        <x:v>39</x:v>
      </x:c>
      <x:c r="C39" s="294" t="n">
        <x:f>'Assumptions'!D22</x:f>
        <x:v>39</x:v>
      </x:c>
      <x:c r="D39" s="294" t="n">
        <x:f>'Assumptions'!E22</x:f>
        <x:v>40</x:v>
      </x:c>
      <x:c r="E39" s="294" t="n">
        <x:f>'Assumptions'!F22</x:f>
        <x:v>41</x:v>
      </x:c>
      <x:c r="F39" s="294" t="n">
        <x:f>'Assumptions'!G22</x:f>
        <x:v>42</x:v>
      </x:c>
    </x:row>
    <x:row r="40">
      <x:c r="A40" s="262" t="str">
        <x:v>DTC Mix</x:v>
      </x:c>
      <x:c r="B40" s="295" t="n">
        <x:f>'Assumptions'!C23</x:f>
        <x:v>0.7</x:v>
      </x:c>
      <x:c r="C40" s="295" t="n">
        <x:f>'Assumptions'!D23</x:f>
        <x:v>0.55</x:v>
      </x:c>
      <x:c r="D40" s="295" t="n">
        <x:f>'Assumptions'!E23</x:f>
        <x:v>0.45</x:v>
      </x:c>
      <x:c r="E40" s="295" t="n">
        <x:f>'Assumptions'!F23</x:f>
        <x:v>0.35</x:v>
      </x:c>
      <x:c r="F40" s="295" t="n">
        <x:f>'Assumptions'!G23</x:f>
        <x:v>0.3</x:v>
      </x:c>
    </x:row>
    <x:row r="41">
      <x:c r="A41" s="262" t="str">
        <x:v>Retail-Direct Mix</x:v>
      </x:c>
      <x:c r="B41" s="295" t="n">
        <x:f>'Assumptions'!C24</x:f>
        <x:v>0.2</x:v>
      </x:c>
      <x:c r="C41" s="295" t="n">
        <x:f>'Assumptions'!D24</x:f>
        <x:v>0.2</x:v>
      </x:c>
      <x:c r="D41" s="295" t="n">
        <x:f>'Assumptions'!E24</x:f>
        <x:v>0.2</x:v>
      </x:c>
      <x:c r="E41" s="295" t="n">
        <x:f>'Assumptions'!F24</x:f>
        <x:v>0.2</x:v>
      </x:c>
      <x:c r="F41" s="295" t="n">
        <x:f>'Assumptions'!G24</x:f>
        <x:v>0.2</x:v>
      </x:c>
    </x:row>
    <x:row r="42">
      <x:c r="A42" s="262" t="str">
        <x:v>Distributor Mix</x:v>
      </x:c>
      <x:c r="B42" s="288" t="n">
        <x:f>1-B40-B41</x:f>
        <x:v>0.10000000000000003</x:v>
      </x:c>
      <x:c r="C42" s="288" t="n">
        <x:f>1-C40-C41</x:f>
        <x:v>0.24999999999999994</x:v>
      </x:c>
      <x:c r="D42" s="288" t="n">
        <x:f>1-D40-D41</x:f>
        <x:v>0.35000000000000003</x:v>
      </x:c>
      <x:c r="E42" s="288" t="n">
        <x:f>1-E40-E41</x:f>
        <x:v>0.45</x:v>
      </x:c>
      <x:c r="F42" s="288" t="n">
        <x:f>1-F40-F41</x:f>
        <x:v>0.49999999999999994</x:v>
      </x:c>
    </x:row>
    <x:row r="43">
      <x:c r="A43" s="262" t="str">
        <x:v>DTC Units</x:v>
      </x:c>
      <x:c r="B43" s="264" t="n">
        <x:f>B38*B40</x:f>
        <x:v>700</x:v>
      </x:c>
      <x:c r="C43" s="264" t="n">
        <x:f>C38*C40</x:f>
        <x:v>1375</x:v>
      </x:c>
      <x:c r="D43" s="264" t="n">
        <x:f>D38*D40</x:f>
        <x:v>2250</x:v>
      </x:c>
      <x:c r="E43" s="264" t="n">
        <x:f>E38*E40</x:f>
        <x:v>2800</x:v>
      </x:c>
      <x:c r="F43" s="264" t="n">
        <x:f>F38*F40</x:f>
        <x:v>3600</x:v>
      </x:c>
    </x:row>
    <x:row r="44">
      <x:c r="A44" s="262" t="str">
        <x:v>Retail-Direct Units</x:v>
      </x:c>
      <x:c r="B44" s="264" t="n">
        <x:f>B38*B41</x:f>
        <x:v>200</x:v>
      </x:c>
      <x:c r="C44" s="264" t="n">
        <x:f>C38*C41</x:f>
        <x:v>500</x:v>
      </x:c>
      <x:c r="D44" s="264" t="n">
        <x:f>D38*D41</x:f>
        <x:v>1000</x:v>
      </x:c>
      <x:c r="E44" s="264" t="n">
        <x:f>E38*E41</x:f>
        <x:v>1600</x:v>
      </x:c>
      <x:c r="F44" s="264" t="n">
        <x:f>F38*F41</x:f>
        <x:v>2400</x:v>
      </x:c>
    </x:row>
    <x:row r="45">
      <x:c r="A45" s="262" t="str">
        <x:v>Distributor Units</x:v>
      </x:c>
      <x:c r="B45" s="264" t="n">
        <x:f>B38*B42</x:f>
        <x:v>100.00000000000003</x:v>
      </x:c>
      <x:c r="C45" s="264" t="n">
        <x:f>C38*C42</x:f>
        <x:v>624.9999999999999</x:v>
      </x:c>
      <x:c r="D45" s="264" t="n">
        <x:f>D38*D42</x:f>
        <x:v>1750.0000000000002</x:v>
      </x:c>
      <x:c r="E45" s="264" t="n">
        <x:f>E38*E42</x:f>
        <x:v>3600</x:v>
      </x:c>
      <x:c r="F45" s="264" t="n">
        <x:f>F38*F42</x:f>
        <x:v>5999.999999999999</x:v>
      </x:c>
    </x:row>
    <x:row r="46">
      <x:c r="A46" s="296" t="str">
        <x:v>DTC Net Sales</x:v>
      </x:c>
      <x:c r="B46" s="297" t="n">
        <x:f>B43*B39</x:f>
        <x:v>27300</x:v>
      </x:c>
      <x:c r="C46" s="297" t="n">
        <x:f>C43*C39</x:f>
        <x:v>53625</x:v>
      </x:c>
      <x:c r="D46" s="297" t="n">
        <x:f>D43*D39</x:f>
        <x:v>90000</x:v>
      </x:c>
      <x:c r="E46" s="297" t="n">
        <x:f>E43*E39</x:f>
        <x:v>114800</x:v>
      </x:c>
      <x:c r="F46" s="297" t="n">
        <x:f>F43*F39</x:f>
        <x:v>151200</x:v>
      </x:c>
    </x:row>
    <x:row r="47">
      <x:c r="A47" s="262" t="str">
        <x:v>Retail-Direct Net Sales</x:v>
      </x:c>
      <x:c r="B47" s="263" t="n">
        <x:f>B44*B39*'Assumptions'!$B$11</x:f>
        <x:v>3900</x:v>
      </x:c>
      <x:c r="C47" s="263" t="n">
        <x:f>C44*C39*'Assumptions'!$B$11</x:f>
        <x:v>9750</x:v>
      </x:c>
      <x:c r="D47" s="263" t="n">
        <x:f>D44*D39*'Assumptions'!$B$11</x:f>
        <x:v>20000</x:v>
      </x:c>
      <x:c r="E47" s="263" t="n">
        <x:f>E44*E39*'Assumptions'!$B$11</x:f>
        <x:v>32800</x:v>
      </x:c>
      <x:c r="F47" s="263" t="n">
        <x:f>F44*F39*'Assumptions'!$B$11</x:f>
        <x:v>50400</x:v>
      </x:c>
    </x:row>
    <x:row r="48">
      <x:c r="A48" s="262" t="str">
        <x:v>Distributor Net Sales</x:v>
      </x:c>
      <x:c r="B48" s="263" t="n">
        <x:f>B45*B39*'Assumptions'!$B$12</x:f>
        <x:v>1560.0000000000005</x:v>
      </x:c>
      <x:c r="C48" s="263" t="n">
        <x:f>C45*C39*'Assumptions'!$B$12</x:f>
        <x:v>9749.999999999998</x:v>
      </x:c>
      <x:c r="D48" s="263" t="n">
        <x:f>D45*D39*'Assumptions'!$B$12</x:f>
        <x:v>28000.000000000007</x:v>
      </x:c>
      <x:c r="E48" s="263" t="n">
        <x:f>E45*E39*'Assumptions'!$B$12</x:f>
        <x:v>59040</x:v>
      </x:c>
      <x:c r="F48" s="263" t="n">
        <x:f>F45*F39*'Assumptions'!$B$12</x:f>
        <x:v>100800</x:v>
      </x:c>
    </x:row>
    <x:row r="49">
      <x:c r="A49" s="298" t="str">
        <x:v>Net Revenue</x:v>
      </x:c>
      <x:c r="B49" s="299" t="n">
        <x:f>SUM(B46:B48)</x:f>
        <x:v>32760</x:v>
      </x:c>
      <x:c r="C49" s="299" t="n">
        <x:f>SUM(C46:C48)</x:f>
        <x:v>73125</x:v>
      </x:c>
      <x:c r="D49" s="299" t="n">
        <x:f>SUM(D46:D48)</x:f>
        <x:v>138000</x:v>
      </x:c>
      <x:c r="E49" s="299" t="n">
        <x:f>SUM(E46:E48)</x:f>
        <x:v>206640</x:v>
      </x:c>
      <x:c r="F49" s="299" t="n">
        <x:f>SUM(F46:F48)</x:f>
        <x:v>302400</x:v>
      </x:c>
    </x:row>
    <x:row r="50">
      <x:c r="A50" s="262" t="str">
        <x:v>Landed COGS</x:v>
      </x:c>
      <x:c r="B50" s="263" t="n">
        <x:f>B38*'Assumptions'!C25</x:f>
        <x:v>14000</x:v>
      </x:c>
      <x:c r="C50" s="263" t="n">
        <x:f>C38*'Assumptions'!D25</x:f>
        <x:v>32500</x:v>
      </x:c>
      <x:c r="D50" s="263" t="n">
        <x:f>D38*'Assumptions'!E25</x:f>
        <x:v>60000</x:v>
      </x:c>
      <x:c r="E50" s="263" t="n">
        <x:f>E38*'Assumptions'!F25</x:f>
        <x:v>92000</x:v>
      </x:c>
      <x:c r="F50" s="263" t="n">
        <x:f>F38*'Assumptions'!G25</x:f>
        <x:v>132000</x:v>
      </x:c>
    </x:row>
    <x:row r="51">
      <x:c r="A51" s="262" t="str">
        <x:v>Platform + Payment Fees</x:v>
      </x:c>
      <x:c r="B51" s="263" t="n">
        <x:f>B46*('Assumptions'!$B$7+'Assumptions'!$B$8)</x:f>
        <x:v>2457</x:v>
      </x:c>
      <x:c r="C51" s="263" t="n">
        <x:f>C46*('Assumptions'!$B$7+'Assumptions'!$B$8)</x:f>
        <x:v>4826.25</x:v>
      </x:c>
      <x:c r="D51" s="263" t="n">
        <x:f>D46*('Assumptions'!$B$7+'Assumptions'!$B$8)</x:f>
        <x:v>8100</x:v>
      </x:c>
      <x:c r="E51" s="263" t="n">
        <x:f>E46*('Assumptions'!$B$7+'Assumptions'!$B$8)</x:f>
        <x:v>10332</x:v>
      </x:c>
      <x:c r="F51" s="263" t="n">
        <x:f>F46*('Assumptions'!$B$7+'Assumptions'!$B$8)</x:f>
        <x:v>13608</x:v>
      </x:c>
    </x:row>
    <x:row r="52">
      <x:c r="A52" s="262" t="str">
        <x:v>Refund Reserve</x:v>
      </x:c>
      <x:c r="B52" s="263" t="n">
        <x:f>B46*'Assumptions'!$B$9</x:f>
        <x:v>546</x:v>
      </x:c>
      <x:c r="C52" s="263" t="n">
        <x:f>C46*'Assumptions'!$B$9</x:f>
        <x:v>1072.5</x:v>
      </x:c>
      <x:c r="D52" s="263" t="n">
        <x:f>D46*'Assumptions'!$B$9</x:f>
        <x:v>1800</x:v>
      </x:c>
      <x:c r="E52" s="263" t="n">
        <x:f>E46*'Assumptions'!$B$9</x:f>
        <x:v>2296</x:v>
      </x:c>
      <x:c r="F52" s="263" t="n">
        <x:f>F46*'Assumptions'!$B$9</x:f>
        <x:v>3024</x:v>
      </x:c>
    </x:row>
    <x:row r="53">
      <x:c r="A53" s="262" t="str">
        <x:v>DTC Pick/Pack</x:v>
      </x:c>
      <x:c r="B53" s="263" t="n">
        <x:f>B43*'Assumptions'!$B$10</x:f>
        <x:v>2275</x:v>
      </x:c>
      <x:c r="C53" s="263" t="n">
        <x:f>C43*'Assumptions'!$B$10</x:f>
        <x:v>4468.75</x:v>
      </x:c>
      <x:c r="D53" s="263" t="n">
        <x:f>D43*'Assumptions'!$B$10</x:f>
        <x:v>7312.5</x:v>
      </x:c>
      <x:c r="E53" s="263" t="n">
        <x:f>E43*'Assumptions'!$B$10</x:f>
        <x:v>9100</x:v>
      </x:c>
      <x:c r="F53" s="263" t="n">
        <x:f>F43*'Assumptions'!$B$10</x:f>
        <x:v>11700</x:v>
      </x:c>
    </x:row>
    <x:row r="54">
      <x:c r="A54" s="262" t="str">
        <x:v>Wholesale Freight</x:v>
      </x:c>
      <x:c r="B54" s="263" t="n">
        <x:f>(B47+B48)*'Assumptions'!$B$13</x:f>
        <x:v>163.79999999999998</x:v>
      </x:c>
      <x:c r="C54" s="263" t="n">
        <x:f>(C47+C48)*'Assumptions'!$B$13</x:f>
        <x:v>585</x:v>
      </x:c>
      <x:c r="D54" s="263" t="n">
        <x:f>(D47+D48)*'Assumptions'!$B$13</x:f>
        <x:v>1440.0000000000002</x:v>
      </x:c>
      <x:c r="E54" s="263" t="n">
        <x:f>(E47+E48)*'Assumptions'!$B$13</x:f>
        <x:v>2755.2</x:v>
      </x:c>
      <x:c r="F54" s="263" t="n">
        <x:f>(F47+F48)*'Assumptions'!$B$13</x:f>
        <x:v>4536</x:v>
      </x:c>
    </x:row>
    <x:row r="55">
      <x:c r="A55" s="298" t="str">
        <x:v>Contribution Profit</x:v>
      </x:c>
      <x:c r="B55" s="299" t="n">
        <x:f>B49-SUM(B50:B54)</x:f>
        <x:v>13318.2</x:v>
      </x:c>
      <x:c r="C55" s="299" t="n">
        <x:f>C49-SUM(C50:C54)</x:f>
        <x:v>29672.5</x:v>
      </x:c>
      <x:c r="D55" s="299" t="n">
        <x:f>D49-SUM(D50:D54)</x:f>
        <x:v>59347.5</x:v>
      </x:c>
      <x:c r="E55" s="299" t="n">
        <x:f>E49-SUM(E50:E54)</x:f>
        <x:v>90156.8</x:v>
      </x:c>
      <x:c r="F55" s="299" t="n">
        <x:f>F49-SUM(F50:F54)</x:f>
        <x:v>137532</x:v>
      </x:c>
    </x:row>
    <x:row r="56">
      <x:c r="A56" s="300" t="str">
        <x:v>Contribution Margin</x:v>
      </x:c>
      <x:c r="B56" s="301" t="n">
        <x:f>B55/B49</x:f>
        <x:v>0.40653846153846157</x:v>
      </x:c>
      <x:c r="C56" s="301" t="n">
        <x:f>C55/C49</x:f>
        <x:v>0.4057777777777778</x:v>
      </x:c>
      <x:c r="D56" s="301" t="n">
        <x:f>D55/D49</x:f>
        <x:v>0.430054347826087</x:v>
      </x:c>
      <x:c r="E56" s="301" t="n">
        <x:f>E55/E49</x:f>
        <x:v>0.436298877274487</x:v>
      </x:c>
      <x:c r="F56" s="301" t="n">
        <x:f>F55/F49</x:f>
        <x:v>0.4548015873015873</x:v>
      </x:c>
    </x:row>
    <x:row r="57">
      <x:c r="A57" s="262" t="str">
        <x:v>Development &amp; Art</x:v>
      </x:c>
      <x:c r="B57" s="302" t="n">
        <x:f>'Assumptions'!C26</x:f>
        <x:v>28000</x:v>
      </x:c>
      <x:c r="C57" s="302" t="n">
        <x:f>'Assumptions'!D26</x:f>
        <x:v>32000</x:v>
      </x:c>
      <x:c r="D57" s="302" t="n">
        <x:f>'Assumptions'!E26</x:f>
        <x:v>35000</x:v>
      </x:c>
      <x:c r="E57" s="302" t="n">
        <x:f>'Assumptions'!F26</x:f>
        <x:v>38000</x:v>
      </x:c>
      <x:c r="F57" s="302" t="n">
        <x:f>'Assumptions'!G26</x:f>
        <x:v>42000</x:v>
      </x:c>
    </x:row>
    <x:row r="58">
      <x:c r="A58" s="262" t="str">
        <x:v>Marketing</x:v>
      </x:c>
      <x:c r="B58" s="302" t="n">
        <x:f>'Assumptions'!C27</x:f>
        <x:v>10000</x:v>
      </x:c>
      <x:c r="C58" s="302" t="n">
        <x:f>'Assumptions'!D27</x:f>
        <x:v>14000</x:v>
      </x:c>
      <x:c r="D58" s="302" t="n">
        <x:f>'Assumptions'!E27</x:f>
        <x:v>18000</x:v>
      </x:c>
      <x:c r="E58" s="302" t="n">
        <x:f>'Assumptions'!F27</x:f>
        <x:v>22000</x:v>
      </x:c>
      <x:c r="F58" s="302" t="n">
        <x:f>'Assumptions'!G27</x:f>
        <x:v>26000</x:v>
      </x:c>
    </x:row>
    <x:row r="59">
      <x:c r="A59" s="262" t="str">
        <x:v>Overhead</x:v>
      </x:c>
      <x:c r="B59" s="302" t="n">
        <x:f>'Assumptions'!C28</x:f>
        <x:v>9000</x:v>
      </x:c>
      <x:c r="C59" s="302" t="n">
        <x:f>'Assumptions'!D28</x:f>
        <x:v>12000</x:v>
      </x:c>
      <x:c r="D59" s="302" t="n">
        <x:f>'Assumptions'!E28</x:f>
        <x:v>15000</x:v>
      </x:c>
      <x:c r="E59" s="302" t="n">
        <x:f>'Assumptions'!F28</x:f>
        <x:v>19000</x:v>
      </x:c>
      <x:c r="F59" s="302" t="n">
        <x:f>'Assumptions'!G28</x:f>
        <x:v>24000</x:v>
      </x:c>
    </x:row>
    <x:row r="60">
      <x:c r="A60" s="262" t="str">
        <x:v>Founder Compensation</x:v>
      </x:c>
      <x:c r="B60" s="302" t="n">
        <x:f>'Assumptions'!C29</x:f>
        <x:v>0</x:v>
      </x:c>
      <x:c r="C60" s="302" t="n">
        <x:f>'Assumptions'!D29</x:f>
        <x:v>18000</x:v>
      </x:c>
      <x:c r="D60" s="302" t="n">
        <x:f>'Assumptions'!E29</x:f>
        <x:v>30000</x:v>
      </x:c>
      <x:c r="E60" s="302" t="n">
        <x:f>'Assumptions'!F29</x:f>
        <x:v>42000</x:v>
      </x:c>
      <x:c r="F60" s="302" t="n">
        <x:f>'Assumptions'!G29</x:f>
        <x:v>54000</x:v>
      </x:c>
    </x:row>
    <x:row r="61">
      <x:c r="A61" s="298" t="str">
        <x:v>EBITDA before Founder Comp</x:v>
      </x:c>
      <x:c r="B61" s="299" t="n">
        <x:f>B55-SUM(B57:B59)</x:f>
        <x:v>-33681.8</x:v>
      </x:c>
      <x:c r="C61" s="299" t="n">
        <x:f>C55-SUM(C57:C59)</x:f>
        <x:v>-28327.5</x:v>
      </x:c>
      <x:c r="D61" s="299" t="n">
        <x:f>D55-SUM(D57:D59)</x:f>
        <x:v>-8652.5</x:v>
      </x:c>
      <x:c r="E61" s="299" t="n">
        <x:f>E55-SUM(E57:E59)</x:f>
        <x:v>11156.800000000003</x:v>
      </x:c>
      <x:c r="F61" s="299" t="n">
        <x:f>F55-SUM(F57:F59)</x:f>
        <x:v>45532</x:v>
      </x:c>
    </x:row>
    <x:row r="62">
      <x:c r="A62" s="300" t="str">
        <x:v>EBITDA</x:v>
      </x:c>
      <x:c r="B62" s="303" t="n">
        <x:f>B61-B60</x:f>
        <x:v>-33681.8</x:v>
      </x:c>
      <x:c r="C62" s="303" t="n">
        <x:f>C61-C60</x:f>
        <x:v>-46327.5</x:v>
      </x:c>
      <x:c r="D62" s="303" t="n">
        <x:f>D61-D60</x:f>
        <x:v>-38652.5</x:v>
      </x:c>
      <x:c r="E62" s="303" t="n">
        <x:f>E61-E60</x:f>
        <x:v>-30843.199999999997</x:v>
      </x:c>
      <x:c r="F62" s="303" t="n">
        <x:f>F61-F60</x:f>
        <x:v>-8468</x:v>
      </x:c>
    </x:row>
    <x:row r="63">
      <x:c r="A63" s="300" t="str">
        <x:v>EBITDA Margin</x:v>
      </x:c>
      <x:c r="B63" s="301" t="n">
        <x:f>B62/B49</x:f>
        <x:v>-1.0281379731379732</x:v>
      </x:c>
      <x:c r="C63" s="301" t="n">
        <x:f>C62/C49</x:f>
        <x:v>-0.6335384615384615</x:v>
      </x:c>
      <x:c r="D63" s="301" t="n">
        <x:f>D62/D49</x:f>
        <x:v>-0.28009057971014495</x:v>
      </x:c>
      <x:c r="E63" s="301" t="n">
        <x:f>E62/E49</x:f>
        <x:v>-0.14926054974835462</x:v>
      </x:c>
      <x:c r="F63" s="301" t="n">
        <x:f>F62/F49</x:f>
        <x:v>-0.0280026455026455</x:v>
      </x:c>
    </x:row>
    <x:row r="64">
      <x:c r="A64" s="304" t="str">
        <x:v>Cumulative EBITDA</x:v>
      </x:c>
      <x:c r="B64" s="305" t="n">
        <x:f>B62</x:f>
        <x:v>-33681.8</x:v>
      </x:c>
      <x:c r="C64" s="305" t="n">
        <x:f>B64+C62</x:f>
        <x:v>-80009.3</x:v>
      </x:c>
      <x:c r="D64" s="305" t="n">
        <x:f>C64+D62</x:f>
        <x:v>-118661.8</x:v>
      </x:c>
      <x:c r="E64" s="305" t="n">
        <x:f>D64+E62</x:f>
        <x:v>-149505</x:v>
      </x:c>
      <x:c r="F64" s="305" t="n">
        <x:f>E64+F62</x:f>
        <x:v>-157973</x:v>
      </x:c>
    </x:row>
    <x:row r="65">
      <x:c r="A65" s="262"/>
      <x:c r="B65" s="262"/>
      <x:c r="C65" s="262"/>
      <x:c r="D65" s="262"/>
      <x:c r="E65" s="262"/>
      <x:c r="F65" s="262"/>
    </x:row>
    <x:row r="66">
      <x:c r="A66" s="262"/>
      <x:c r="B66" s="262"/>
      <x:c r="C66" s="262"/>
      <x:c r="D66" s="262"/>
      <x:c r="E66" s="262"/>
      <x:c r="F66" s="262"/>
    </x:row>
    <x:row r="67">
      <x:c r="A67" s="262"/>
      <x:c r="B67" s="262"/>
      <x:c r="C67" s="262"/>
      <x:c r="D67" s="262"/>
      <x:c r="E67" s="262"/>
      <x:c r="F67" s="262"/>
    </x:row>
    <x:row r="68" ht="23" customHeight="1">
      <x:c r="A68" s="124" t="str">
        <x:v>UPSIDE CASE</x:v>
      </x:c>
      <x:c r="B68" s="124"/>
      <x:c r="C68" s="124"/>
      <x:c r="D68" s="124"/>
      <x:c r="E68" s="124"/>
      <x:c r="F68" s="124"/>
    </x:row>
    <x:row r="69" ht="28" customHeight="1">
      <x:c r="A69" s="134" t="str">
        <x:v>$ unless noted</x:v>
      </x:c>
      <x:c r="B69" s="135" t="n">
        <x:v>2027</x:v>
      </x:c>
      <x:c r="C69" s="135" t="n">
        <x:v>2028</x:v>
      </x:c>
      <x:c r="D69" s="135" t="n">
        <x:v>2029</x:v>
      </x:c>
      <x:c r="E69" s="135" t="n">
        <x:v>2030</x:v>
      </x:c>
      <x:c r="F69" s="136" t="n">
        <x:v>2031</x:v>
      </x:c>
    </x:row>
    <x:row r="70">
      <x:c r="A70" s="262" t="str">
        <x:v>Units Sold</x:v>
      </x:c>
      <x:c r="B70" s="293" t="n">
        <x:f>'Assumptions'!C47</x:f>
        <x:v>3500</x:v>
      </x:c>
      <x:c r="C70" s="293" t="n">
        <x:f>'Assumptions'!D47</x:f>
        <x:v>9000</x:v>
      </x:c>
      <x:c r="D70" s="293" t="n">
        <x:f>'Assumptions'!E47</x:f>
        <x:v>18000</x:v>
      </x:c>
      <x:c r="E70" s="293" t="n">
        <x:f>'Assumptions'!F47</x:f>
        <x:v>32000</x:v>
      </x:c>
      <x:c r="F70" s="293" t="n">
        <x:f>'Assumptions'!G47</x:f>
        <x:v>50000</x:v>
      </x:c>
    </x:row>
    <x:row r="71">
      <x:c r="A71" s="262" t="str">
        <x:v>MSRP / Unit</x:v>
      </x:c>
      <x:c r="B71" s="294" t="n">
        <x:f>'Assumptions'!C48</x:f>
        <x:v>39</x:v>
      </x:c>
      <x:c r="C71" s="294" t="n">
        <x:f>'Assumptions'!D48</x:f>
        <x:v>40</x:v>
      </x:c>
      <x:c r="D71" s="294" t="n">
        <x:f>'Assumptions'!E48</x:f>
        <x:v>41</x:v>
      </x:c>
      <x:c r="E71" s="294" t="n">
        <x:f>'Assumptions'!F48</x:f>
        <x:v>42</x:v>
      </x:c>
      <x:c r="F71" s="294" t="n">
        <x:f>'Assumptions'!G48</x:f>
        <x:v>43</x:v>
      </x:c>
    </x:row>
    <x:row r="72">
      <x:c r="A72" s="262" t="str">
        <x:v>DTC Mix</x:v>
      </x:c>
      <x:c r="B72" s="295" t="n">
        <x:f>'Assumptions'!C49</x:f>
        <x:v>0.8</x:v>
      </x:c>
      <x:c r="C72" s="295" t="n">
        <x:f>'Assumptions'!D49</x:f>
        <x:v>0.68</x:v>
      </x:c>
      <x:c r="D72" s="295" t="n">
        <x:f>'Assumptions'!E49</x:f>
        <x:v>0.58</x:v>
      </x:c>
      <x:c r="E72" s="295" t="n">
        <x:f>'Assumptions'!F49</x:f>
        <x:v>0.5</x:v>
      </x:c>
      <x:c r="F72" s="295" t="n">
        <x:f>'Assumptions'!G49</x:f>
        <x:v>0.42</x:v>
      </x:c>
    </x:row>
    <x:row r="73">
      <x:c r="A73" s="262" t="str">
        <x:v>Retail-Direct Mix</x:v>
      </x:c>
      <x:c r="B73" s="295" t="n">
        <x:f>'Assumptions'!C50</x:f>
        <x:v>0.15</x:v>
      </x:c>
      <x:c r="C73" s="295" t="n">
        <x:f>'Assumptions'!D50</x:f>
        <x:v>0.17</x:v>
      </x:c>
      <x:c r="D73" s="295" t="n">
        <x:f>'Assumptions'!E50</x:f>
        <x:v>0.17</x:v>
      </x:c>
      <x:c r="E73" s="295" t="n">
        <x:f>'Assumptions'!F50</x:f>
        <x:v>0.18</x:v>
      </x:c>
      <x:c r="F73" s="295" t="n">
        <x:f>'Assumptions'!G50</x:f>
        <x:v>0.18</x:v>
      </x:c>
    </x:row>
    <x:row r="74">
      <x:c r="A74" s="262" t="str">
        <x:v>Distributor Mix</x:v>
      </x:c>
      <x:c r="B74" s="288" t="n">
        <x:f>1-B72-B73</x:f>
        <x:v>0.04999999999999996</x:v>
      </x:c>
      <x:c r="C74" s="288" t="n">
        <x:f>1-C72-C73</x:f>
        <x:v>0.14999999999999994</x:v>
      </x:c>
      <x:c r="D74" s="288" t="n">
        <x:f>1-D72-D73</x:f>
        <x:v>0.25</x:v>
      </x:c>
      <x:c r="E74" s="288" t="n">
        <x:f>1-E72-E73</x:f>
        <x:v>0.32</x:v>
      </x:c>
      <x:c r="F74" s="288" t="n">
        <x:f>1-F72-F73</x:f>
        <x:v>0.4000000000000001</x:v>
      </x:c>
    </x:row>
    <x:row r="75">
      <x:c r="A75" s="262" t="str">
        <x:v>DTC Units</x:v>
      </x:c>
      <x:c r="B75" s="264" t="n">
        <x:f>B70*B72</x:f>
        <x:v>2800</x:v>
      </x:c>
      <x:c r="C75" s="264" t="n">
        <x:f>C70*C72</x:f>
        <x:v>6120</x:v>
      </x:c>
      <x:c r="D75" s="264" t="n">
        <x:f>D70*D72</x:f>
        <x:v>10440</x:v>
      </x:c>
      <x:c r="E75" s="264" t="n">
        <x:f>E70*E72</x:f>
        <x:v>16000</x:v>
      </x:c>
      <x:c r="F75" s="264" t="n">
        <x:f>F70*F72</x:f>
        <x:v>21000</x:v>
      </x:c>
    </x:row>
    <x:row r="76">
      <x:c r="A76" s="262" t="str">
        <x:v>Retail-Direct Units</x:v>
      </x:c>
      <x:c r="B76" s="264" t="n">
        <x:f>B70*B73</x:f>
        <x:v>525</x:v>
      </x:c>
      <x:c r="C76" s="264" t="n">
        <x:f>C70*C73</x:f>
        <x:v>1530</x:v>
      </x:c>
      <x:c r="D76" s="264" t="n">
        <x:f>D70*D73</x:f>
        <x:v>3060</x:v>
      </x:c>
      <x:c r="E76" s="264" t="n">
        <x:f>E70*E73</x:f>
        <x:v>5760</x:v>
      </x:c>
      <x:c r="F76" s="264" t="n">
        <x:f>F70*F73</x:f>
        <x:v>9000</x:v>
      </x:c>
    </x:row>
    <x:row r="77">
      <x:c r="A77" s="262" t="str">
        <x:v>Distributor Units</x:v>
      </x:c>
      <x:c r="B77" s="264" t="n">
        <x:f>B70*B74</x:f>
        <x:v>174.99999999999986</x:v>
      </x:c>
      <x:c r="C77" s="264" t="n">
        <x:f>C70*C74</x:f>
        <x:v>1349.9999999999995</x:v>
      </x:c>
      <x:c r="D77" s="264" t="n">
        <x:f>D70*D74</x:f>
        <x:v>4500</x:v>
      </x:c>
      <x:c r="E77" s="264" t="n">
        <x:f>E70*E74</x:f>
        <x:v>10240</x:v>
      </x:c>
      <x:c r="F77" s="264" t="n">
        <x:f>F70*F74</x:f>
        <x:v>20000.000000000004</x:v>
      </x:c>
    </x:row>
    <x:row r="78">
      <x:c r="A78" s="296" t="str">
        <x:v>DTC Net Sales</x:v>
      </x:c>
      <x:c r="B78" s="297" t="n">
        <x:f>B75*B71</x:f>
        <x:v>109200</x:v>
      </x:c>
      <x:c r="C78" s="297" t="n">
        <x:f>C75*C71</x:f>
        <x:v>244800</x:v>
      </x:c>
      <x:c r="D78" s="297" t="n">
        <x:f>D75*D71</x:f>
        <x:v>428040</x:v>
      </x:c>
      <x:c r="E78" s="297" t="n">
        <x:f>E75*E71</x:f>
        <x:v>672000</x:v>
      </x:c>
      <x:c r="F78" s="297" t="n">
        <x:f>F75*F71</x:f>
        <x:v>903000</x:v>
      </x:c>
    </x:row>
    <x:row r="79">
      <x:c r="A79" s="262" t="str">
        <x:v>Retail-Direct Net Sales</x:v>
      </x:c>
      <x:c r="B79" s="263" t="n">
        <x:f>B76*B71*'Assumptions'!$B$11</x:f>
        <x:v>10237.5</x:v>
      </x:c>
      <x:c r="C79" s="263" t="n">
        <x:f>C76*C71*'Assumptions'!$B$11</x:f>
        <x:v>30600</x:v>
      </x:c>
      <x:c r="D79" s="263" t="n">
        <x:f>D76*D71*'Assumptions'!$B$11</x:f>
        <x:v>62730</x:v>
      </x:c>
      <x:c r="E79" s="263" t="n">
        <x:f>E76*E71*'Assumptions'!$B$11</x:f>
        <x:v>120960</x:v>
      </x:c>
      <x:c r="F79" s="263" t="n">
        <x:f>F76*F71*'Assumptions'!$B$11</x:f>
        <x:v>193500</x:v>
      </x:c>
    </x:row>
    <x:row r="80">
      <x:c r="A80" s="262" t="str">
        <x:v>Distributor Net Sales</x:v>
      </x:c>
      <x:c r="B80" s="263" t="n">
        <x:f>B77*B71*'Assumptions'!$B$12</x:f>
        <x:v>2729.999999999998</x:v>
      </x:c>
      <x:c r="C80" s="263" t="n">
        <x:f>C77*C71*'Assumptions'!$B$12</x:f>
        <x:v>21599.999999999996</x:v>
      </x:c>
      <x:c r="D80" s="263" t="n">
        <x:f>D77*D71*'Assumptions'!$B$12</x:f>
        <x:v>73800</x:v>
      </x:c>
      <x:c r="E80" s="263" t="n">
        <x:f>E77*E71*'Assumptions'!$B$12</x:f>
        <x:v>172032</x:v>
      </x:c>
      <x:c r="F80" s="263" t="n">
        <x:f>F77*F71*'Assumptions'!$B$12</x:f>
        <x:v>344000.00000000006</x:v>
      </x:c>
    </x:row>
    <x:row r="81">
      <x:c r="A81" s="298" t="str">
        <x:v>Net Revenue</x:v>
      </x:c>
      <x:c r="B81" s="299" t="n">
        <x:f>SUM(B78:B80)</x:f>
        <x:v>122167.5</x:v>
      </x:c>
      <x:c r="C81" s="299" t="n">
        <x:f>SUM(C78:C80)</x:f>
        <x:v>297000</x:v>
      </x:c>
      <x:c r="D81" s="299" t="n">
        <x:f>SUM(D78:D80)</x:f>
        <x:v>564570</x:v>
      </x:c>
      <x:c r="E81" s="299" t="n">
        <x:f>SUM(E78:E80)</x:f>
        <x:v>964992</x:v>
      </x:c>
      <x:c r="F81" s="299" t="n">
        <x:f>SUM(F78:F80)</x:f>
        <x:v>1440500</x:v>
      </x:c>
    </x:row>
    <x:row r="82">
      <x:c r="A82" s="262" t="str">
        <x:v>Landed COGS</x:v>
      </x:c>
      <x:c r="B82" s="263" t="n">
        <x:f>B70*'Assumptions'!C51</x:f>
        <x:v>40250</x:v>
      </x:c>
      <x:c r="C82" s="263" t="n">
        <x:f>C70*'Assumptions'!D51</x:f>
        <x:v>92250</x:v>
      </x:c>
      <x:c r="D82" s="263" t="n">
        <x:f>D70*'Assumptions'!E51</x:f>
        <x:v>166500</x:v>
      </x:c>
      <x:c r="E82" s="263" t="n">
        <x:f>E70*'Assumptions'!F51</x:f>
        <x:v>272000</x:v>
      </x:c>
      <x:c r="F82" s="263" t="n">
        <x:f>F70*'Assumptions'!G51</x:f>
        <x:v>400000</x:v>
      </x:c>
    </x:row>
    <x:row r="83">
      <x:c r="A83" s="262" t="str">
        <x:v>Platform + Payment Fees</x:v>
      </x:c>
      <x:c r="B83" s="263" t="n">
        <x:f>B78*('Assumptions'!$B$7+'Assumptions'!$B$8)</x:f>
        <x:v>9828</x:v>
      </x:c>
      <x:c r="C83" s="263" t="n">
        <x:f>C78*('Assumptions'!$B$7+'Assumptions'!$B$8)</x:f>
        <x:v>22032</x:v>
      </x:c>
      <x:c r="D83" s="263" t="n">
        <x:f>D78*('Assumptions'!$B$7+'Assumptions'!$B$8)</x:f>
        <x:v>38523.6</x:v>
      </x:c>
      <x:c r="E83" s="263" t="n">
        <x:f>E78*('Assumptions'!$B$7+'Assumptions'!$B$8)</x:f>
        <x:v>60480</x:v>
      </x:c>
      <x:c r="F83" s="263" t="n">
        <x:f>F78*('Assumptions'!$B$7+'Assumptions'!$B$8)</x:f>
        <x:v>81270</x:v>
      </x:c>
    </x:row>
    <x:row r="84">
      <x:c r="A84" s="262" t="str">
        <x:v>Refund Reserve</x:v>
      </x:c>
      <x:c r="B84" s="263" t="n">
        <x:f>B78*'Assumptions'!$B$9</x:f>
        <x:v>2184</x:v>
      </x:c>
      <x:c r="C84" s="263" t="n">
        <x:f>C78*'Assumptions'!$B$9</x:f>
        <x:v>4896</x:v>
      </x:c>
      <x:c r="D84" s="263" t="n">
        <x:f>D78*'Assumptions'!$B$9</x:f>
        <x:v>8560.8</x:v>
      </x:c>
      <x:c r="E84" s="263" t="n">
        <x:f>E78*'Assumptions'!$B$9</x:f>
        <x:v>13440</x:v>
      </x:c>
      <x:c r="F84" s="263" t="n">
        <x:f>F78*'Assumptions'!$B$9</x:f>
        <x:v>18060</x:v>
      </x:c>
    </x:row>
    <x:row r="85">
      <x:c r="A85" s="262" t="str">
        <x:v>DTC Pick/Pack</x:v>
      </x:c>
      <x:c r="B85" s="263" t="n">
        <x:f>B75*'Assumptions'!$B$10</x:f>
        <x:v>9100</x:v>
      </x:c>
      <x:c r="C85" s="263" t="n">
        <x:f>C75*'Assumptions'!$B$10</x:f>
        <x:v>19890</x:v>
      </x:c>
      <x:c r="D85" s="263" t="n">
        <x:f>D75*'Assumptions'!$B$10</x:f>
        <x:v>33930</x:v>
      </x:c>
      <x:c r="E85" s="263" t="n">
        <x:f>E75*'Assumptions'!$B$10</x:f>
        <x:v>52000</x:v>
      </x:c>
      <x:c r="F85" s="263" t="n">
        <x:f>F75*'Assumptions'!$B$10</x:f>
        <x:v>68250</x:v>
      </x:c>
    </x:row>
    <x:row r="86">
      <x:c r="A86" s="262" t="str">
        <x:v>Wholesale Freight</x:v>
      </x:c>
      <x:c r="B86" s="263" t="n">
        <x:f>(B79+B80)*'Assumptions'!$B$13</x:f>
        <x:v>389.0249999999999</x:v>
      </x:c>
      <x:c r="C86" s="263" t="n">
        <x:f>(C79+C80)*'Assumptions'!$B$13</x:f>
        <x:v>1566</x:v>
      </x:c>
      <x:c r="D86" s="263" t="n">
        <x:f>(D79+D80)*'Assumptions'!$B$13</x:f>
        <x:v>4095.8999999999996</x:v>
      </x:c>
      <x:c r="E86" s="263" t="n">
        <x:f>(E79+E80)*'Assumptions'!$B$13</x:f>
        <x:v>8789.76</x:v>
      </x:c>
      <x:c r="F86" s="263" t="n">
        <x:f>(F79+F80)*'Assumptions'!$B$13</x:f>
        <x:v>16125</x:v>
      </x:c>
    </x:row>
    <x:row r="87">
      <x:c r="A87" s="298" t="str">
        <x:v>Contribution Profit</x:v>
      </x:c>
      <x:c r="B87" s="299" t="n">
        <x:f>B81-SUM(B82:B86)</x:f>
        <x:v>60416.475</x:v>
      </x:c>
      <x:c r="C87" s="299" t="n">
        <x:f>C81-SUM(C82:C86)</x:f>
        <x:v>156366</x:v>
      </x:c>
      <x:c r="D87" s="299" t="n">
        <x:f>D81-SUM(D82:D86)</x:f>
        <x:v>312959.7</x:v>
      </x:c>
      <x:c r="E87" s="299" t="n">
        <x:f>E81-SUM(E82:E86)</x:f>
        <x:v>558282.24</x:v>
      </x:c>
      <x:c r="F87" s="299" t="n">
        <x:f>F81-SUM(F82:F86)</x:f>
        <x:v>856795</x:v>
      </x:c>
    </x:row>
    <x:row r="88">
      <x:c r="A88" s="300" t="str">
        <x:v>Contribution Margin</x:v>
      </x:c>
      <x:c r="B88" s="301" t="n">
        <x:f>B87/B81</x:f>
        <x:v>0.49453803180060163</x:v>
      </x:c>
      <x:c r="C88" s="301" t="n">
        <x:f>C87/C81</x:f>
        <x:v>0.5264848484848484</x:v>
      </x:c>
      <x:c r="D88" s="301" t="n">
        <x:f>D87/D81</x:f>
        <x:v>0.5543328550932568</x:v>
      </x:c>
      <x:c r="E88" s="301" t="n">
        <x:f>E87/E81</x:f>
        <x:v>0.5785356148030243</x:v>
      </x:c>
      <x:c r="F88" s="301" t="n">
        <x:f>F87/F81</x:f>
        <x:v>0.594790003471017</x:v>
      </x:c>
    </x:row>
    <x:row r="89">
      <x:c r="A89" s="262" t="str">
        <x:v>Development &amp; Art</x:v>
      </x:c>
      <x:c r="B89" s="302" t="n">
        <x:f>'Assumptions'!C52</x:f>
        <x:v>34000</x:v>
      </x:c>
      <x:c r="C89" s="302" t="n">
        <x:f>'Assumptions'!D52</x:f>
        <x:v>45000</x:v>
      </x:c>
      <x:c r="D89" s="302" t="n">
        <x:f>'Assumptions'!E52</x:f>
        <x:v>60000</x:v>
      </x:c>
      <x:c r="E89" s="302" t="n">
        <x:f>'Assumptions'!F52</x:f>
        <x:v>78000</x:v>
      </x:c>
      <x:c r="F89" s="302" t="n">
        <x:f>'Assumptions'!G52</x:f>
        <x:v>100000</x:v>
      </x:c>
    </x:row>
    <x:row r="90">
      <x:c r="A90" s="262" t="str">
        <x:v>Marketing</x:v>
      </x:c>
      <x:c r="B90" s="302" t="n">
        <x:f>'Assumptions'!C53</x:f>
        <x:v>20000</x:v>
      </x:c>
      <x:c r="C90" s="302" t="n">
        <x:f>'Assumptions'!D53</x:f>
        <x:v>35000</x:v>
      </x:c>
      <x:c r="D90" s="302" t="n">
        <x:f>'Assumptions'!E53</x:f>
        <x:v>55000</x:v>
      </x:c>
      <x:c r="E90" s="302" t="n">
        <x:f>'Assumptions'!F53</x:f>
        <x:v>80000</x:v>
      </x:c>
      <x:c r="F90" s="302" t="n">
        <x:f>'Assumptions'!G53</x:f>
        <x:v>115000</x:v>
      </x:c>
    </x:row>
    <x:row r="91">
      <x:c r="A91" s="262" t="str">
        <x:v>Overhead</x:v>
      </x:c>
      <x:c r="B91" s="302" t="n">
        <x:f>'Assumptions'!C54</x:f>
        <x:v>12000</x:v>
      </x:c>
      <x:c r="C91" s="302" t="n">
        <x:f>'Assumptions'!D54</x:f>
        <x:v>18000</x:v>
      </x:c>
      <x:c r="D91" s="302" t="n">
        <x:f>'Assumptions'!E54</x:f>
        <x:v>28000</x:v>
      </x:c>
      <x:c r="E91" s="302" t="n">
        <x:f>'Assumptions'!F54</x:f>
        <x:v>45000</x:v>
      </x:c>
      <x:c r="F91" s="302" t="n">
        <x:f>'Assumptions'!G54</x:f>
        <x:v>65000</x:v>
      </x:c>
    </x:row>
    <x:row r="92">
      <x:c r="A92" s="262" t="str">
        <x:v>Founder Compensation</x:v>
      </x:c>
      <x:c r="B92" s="302" t="n">
        <x:f>'Assumptions'!C55</x:f>
        <x:v>0</x:v>
      </x:c>
      <x:c r="C92" s="302" t="n">
        <x:f>'Assumptions'!D55</x:f>
        <x:v>30000</x:v>
      </x:c>
      <x:c r="D92" s="302" t="n">
        <x:f>'Assumptions'!E55</x:f>
        <x:v>60000</x:v>
      </x:c>
      <x:c r="E92" s="302" t="n">
        <x:f>'Assumptions'!F55</x:f>
        <x:v>96000</x:v>
      </x:c>
      <x:c r="F92" s="302" t="n">
        <x:f>'Assumptions'!G55</x:f>
        <x:v>120000</x:v>
      </x:c>
    </x:row>
    <x:row r="93">
      <x:c r="A93" s="298" t="str">
        <x:v>EBITDA before Founder Comp</x:v>
      </x:c>
      <x:c r="B93" s="299" t="n">
        <x:f>B87-SUM(B89:B91)</x:f>
        <x:v>-5583.5250000000015</x:v>
      </x:c>
      <x:c r="C93" s="299" t="n">
        <x:f>C87-SUM(C89:C91)</x:f>
        <x:v>58366</x:v>
      </x:c>
      <x:c r="D93" s="299" t="n">
        <x:f>D87-SUM(D89:D91)</x:f>
        <x:v>169959.7</x:v>
      </x:c>
      <x:c r="E93" s="299" t="n">
        <x:f>E87-SUM(E89:E91)</x:f>
        <x:v>355282.24</x:v>
      </x:c>
      <x:c r="F93" s="299" t="n">
        <x:f>F87-SUM(F89:F91)</x:f>
        <x:v>576795</x:v>
      </x:c>
    </x:row>
    <x:row r="94">
      <x:c r="A94" s="300" t="str">
        <x:v>EBITDA</x:v>
      </x:c>
      <x:c r="B94" s="303" t="n">
        <x:f>B93-B92</x:f>
        <x:v>-5583.5250000000015</x:v>
      </x:c>
      <x:c r="C94" s="303" t="n">
        <x:f>C93-C92</x:f>
        <x:v>28366</x:v>
      </x:c>
      <x:c r="D94" s="303" t="n">
        <x:f>D93-D92</x:f>
        <x:v>109959.70000000001</x:v>
      </x:c>
      <x:c r="E94" s="303" t="n">
        <x:f>E93-E92</x:f>
        <x:v>259282.24</x:v>
      </x:c>
      <x:c r="F94" s="303" t="n">
        <x:f>F93-F92</x:f>
        <x:v>456795</x:v>
      </x:c>
    </x:row>
    <x:row r="95">
      <x:c r="A95" s="300" t="str">
        <x:v>EBITDA Margin</x:v>
      </x:c>
      <x:c r="B95" s="301" t="n">
        <x:f>B94/B81</x:f>
        <x:v>-0.04570384922340231</x:v>
      </x:c>
      <x:c r="C95" s="301" t="n">
        <x:f>C94/C81</x:f>
        <x:v>0.09550841750841751</x:v>
      </x:c>
      <x:c r="D95" s="301" t="n">
        <x:f>D94/D81</x:f>
        <x:v>0.19476716793311727</x:v>
      </x:c>
      <x:c r="E95" s="301" t="n">
        <x:f>E94/E81</x:f>
        <x:v>0.26868848653667593</x:v>
      </x:c>
      <x:c r="F95" s="301" t="n">
        <x:f>F94/F81</x:f>
        <x:v>0.31710864283234985</x:v>
      </x:c>
    </x:row>
    <x:row r="96">
      <x:c r="A96" s="304" t="str">
        <x:v>Cumulative EBITDA</x:v>
      </x:c>
      <x:c r="B96" s="305" t="n">
        <x:f>B94</x:f>
        <x:v>-5583.5250000000015</x:v>
      </x:c>
      <x:c r="C96" s="305" t="n">
        <x:f>B96+C94</x:f>
        <x:v>22782.475</x:v>
      </x:c>
      <x:c r="D96" s="305" t="n">
        <x:f>C96+D94</x:f>
        <x:v>132742.17500000002</x:v>
      </x:c>
      <x:c r="E96" s="305" t="n">
        <x:f>D96+E94</x:f>
        <x:v>392024.41500000004</x:v>
      </x:c>
      <x:c r="F96" s="305" t="n">
        <x:f>E96+F94</x:f>
        <x:v>848819.415</x:v>
      </x:c>
    </x:row>
    <x:row r="97">
      <x:c r="A97" s="262"/>
      <x:c r="B97" s="262"/>
      <x:c r="C97" s="262"/>
      <x:c r="D97" s="262"/>
      <x:c r="E97" s="262"/>
      <x:c r="F97" s="262"/>
    </x:row>
    <x:row r="98">
      <x:c r="A98" s="262"/>
      <x:c r="B98" s="262"/>
      <x:c r="C98" s="262"/>
      <x:c r="D98" s="262"/>
      <x:c r="E98" s="262"/>
      <x:c r="F98" s="262"/>
    </x:row>
    <x:row r="99">
      <x:c r="A99" s="262"/>
      <x:c r="B99" s="262"/>
      <x:c r="C99" s="262"/>
      <x:c r="D99" s="262"/>
      <x:c r="E99" s="262"/>
      <x:c r="F99" s="262"/>
    </x:row>
    <x:row r="100">
      <x:c r="A100" s="262"/>
      <x:c r="B100" s="262"/>
      <x:c r="C100" s="262"/>
      <x:c r="D100" s="262"/>
      <x:c r="E100" s="262"/>
      <x:c r="F100" s="262"/>
    </x:row>
  </x:sheetData>
  <x:mergeCells>
    <x:mergeCell ref="A1:F2"/>
    <x:mergeCell ref="A3:F3"/>
    <x:mergeCell ref="A4:F4"/>
    <x:mergeCell ref="A36:F36"/>
    <x:mergeCell ref="A68:F6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</x:cols>
  <x:sheetData>
    <x:row r="1" ht="34" customHeight="1">
      <x:c r="A1" s="121" t="str">
        <x:v>SCENARIO SUMMARY</x:v>
      </x:c>
      <x:c r="B1" s="121"/>
      <x:c r="C1" s="121"/>
      <x:c r="D1" s="121"/>
      <x:c r="E1" s="121"/>
      <x:c r="F1" s="121"/>
      <x:c r="G1" s="121"/>
      <x:c r="H1" s="262"/>
      <x:c r="I1" s="262"/>
      <x:c r="J1" s="262"/>
      <x:c r="K1" s="262"/>
      <x:c r="L1" s="262"/>
      <x:c r="M1" s="262"/>
      <x:c r="N1" s="262"/>
      <x:c r="O1" s="262"/>
      <x:c r="P1" s="262"/>
    </x:row>
    <x:row r="2" ht="34" customHeight="1">
      <x:c r="A2" s="121"/>
      <x:c r="B2" s="121"/>
      <x:c r="C2" s="121"/>
      <x:c r="D2" s="121"/>
      <x:c r="E2" s="121"/>
      <x:c r="F2" s="121"/>
      <x:c r="G2" s="121"/>
      <x:c r="H2" s="262"/>
      <x:c r="I2" s="262"/>
      <x:c r="J2" s="262"/>
      <x:c r="K2" s="262"/>
      <x:c r="L2" s="262"/>
      <x:c r="M2" s="262"/>
      <x:c r="N2" s="262"/>
      <x:c r="O2" s="262"/>
      <x:c r="P2" s="262"/>
    </x:row>
    <x:row r="3">
      <x:c r="A3" s="261" t="str">
        <x:v>Scenarios vary unit demand, channel mix, landed cost, and investment cadence. They are not probabilities.</x:v>
      </x:c>
      <x:c r="B3" s="261"/>
      <x:c r="C3" s="261"/>
      <x:c r="D3" s="261"/>
      <x:c r="E3" s="261"/>
      <x:c r="F3" s="261"/>
      <x:c r="G3" s="261"/>
      <x:c r="H3" s="262"/>
      <x:c r="I3" s="262"/>
      <x:c r="J3" s="262"/>
      <x:c r="K3" s="262"/>
      <x:c r="L3" s="262"/>
      <x:c r="M3" s="262"/>
      <x:c r="N3" s="262"/>
      <x:c r="O3" s="262"/>
      <x:c r="P3" s="262"/>
    </x:row>
    <x:row r="4">
      <x:c r="A4" s="262"/>
      <x:c r="B4" s="262"/>
      <x:c r="C4" s="262"/>
      <x:c r="D4" s="262"/>
      <x:c r="E4" s="262"/>
      <x:c r="F4" s="262"/>
      <x:c r="G4" s="262"/>
      <x:c r="H4" s="262"/>
      <x:c r="I4" s="262"/>
      <x:c r="J4" s="262"/>
      <x:c r="K4" s="262"/>
      <x:c r="L4" s="262"/>
      <x:c r="M4" s="262"/>
      <x:c r="N4" s="262"/>
      <x:c r="O4" s="262"/>
      <x:c r="P4" s="262"/>
    </x:row>
    <x:row r="5" ht="28" customHeight="1">
      <x:c r="A5" s="134" t="str">
        <x:v>Scenario</x:v>
      </x:c>
      <x:c r="B5" s="135" t="str">
        <x:v>Year-5 Revenue</x:v>
      </x:c>
      <x:c r="C5" s="135" t="str">
        <x:v>Year-5 EBITDA</x:v>
      </x:c>
      <x:c r="D5" s="135" t="str">
        <x:v>5-Year Revenue</x:v>
      </x:c>
      <x:c r="E5" s="135" t="str">
        <x:v>5-Year EBITDA</x:v>
      </x:c>
      <x:c r="F5" s="135" t="str">
        <x:v>Break-even Year</x:v>
      </x:c>
      <x:c r="G5" s="136" t="str">
        <x:v>Year-5 Units</x:v>
      </x:c>
      <x:c r="H5" s="262"/>
      <x:c r="I5" s="262"/>
      <x:c r="J5" s="262"/>
      <x:c r="K5" s="262"/>
      <x:c r="L5" s="262"/>
      <x:c r="M5" s="262"/>
      <x:c r="N5" s="262"/>
      <x:c r="O5" s="262"/>
      <x:c r="P5" s="262"/>
    </x:row>
    <x:row r="6">
      <x:c r="A6" s="262" t="str">
        <x:v>Conservative</x:v>
      </x:c>
      <x:c r="B6" s="263" t="n">
        <x:f>'Operating Model'!F49</x:f>
        <x:v>302400</x:v>
      </x:c>
      <x:c r="C6" s="263" t="n">
        <x:f>'Operating Model'!F62</x:f>
        <x:v>-8468</x:v>
      </x:c>
      <x:c r="D6" s="263" t="n">
        <x:f>SUM('Operating Model'!B49:F49)</x:f>
        <x:v>752925</x:v>
      </x:c>
      <x:c r="E6" s="263" t="n">
        <x:f>SUM('Operating Model'!B62:F62)</x:f>
        <x:v>-157973</x:v>
      </x:c>
      <x:c r="F6" s="262" t="str">
        <x:f>IF('Operating Model'!B62&gt;0,2027,IF('Operating Model'!C62&gt;0,2028,IF('Operating Model'!D62&gt;0,2029,IF('Operating Model'!E62&gt;0,2030,IF('Operating Model'!F62&gt;0,2031,"Not reached")))))</x:f>
        <x:v>Not reached</x:v>
      </x:c>
      <x:c r="G6" s="264" t="n">
        <x:f>'Operating Model'!F38</x:f>
        <x:v>12000</x:v>
      </x:c>
      <x:c r="H6" s="262"/>
      <x:c r="I6" s="262"/>
      <x:c r="J6" s="262"/>
      <x:c r="K6" s="262"/>
      <x:c r="L6" s="262"/>
      <x:c r="M6" s="262"/>
      <x:c r="N6" s="262"/>
      <x:c r="O6" s="262"/>
      <x:c r="P6" s="262"/>
    </x:row>
    <x:row r="7">
      <x:c r="A7" s="306" t="str">
        <x:v>Base</x:v>
      </x:c>
      <x:c r="B7" s="307" t="n">
        <x:f>'Operating Model'!F17</x:f>
        <x:v>687960</x:v>
      </x:c>
      <x:c r="C7" s="307" t="n">
        <x:f>'Operating Model'!F30</x:f>
        <x:v>111670.20000000001</x:v>
      </x:c>
      <x:c r="D7" s="307" t="n">
        <x:f>SUM('Operating Model'!B17:F17)</x:f>
        <x:v>1663914</x:v>
      </x:c>
      <x:c r="E7" s="307" t="n">
        <x:f>SUM('Operating Model'!B30:F30)</x:f>
        <x:v>96556.38</x:v>
      </x:c>
      <x:c r="F7" s="306" t="n">
        <x:f>IF('Operating Model'!B30&gt;0,2027,IF('Operating Model'!C30&gt;0,2028,IF('Operating Model'!D30&gt;0,2029,IF('Operating Model'!E30&gt;0,2030,IF('Operating Model'!F30&gt;0,2031,"Not reached")))))</x:f>
        <x:v>2030</x:v>
      </x:c>
      <x:c r="G7" s="308" t="n">
        <x:f>'Operating Model'!F6</x:f>
        <x:v>26000</x:v>
      </x:c>
      <x:c r="H7" s="262"/>
      <x:c r="I7" s="262"/>
      <x:c r="J7" s="262"/>
      <x:c r="K7" s="262"/>
      <x:c r="L7" s="262"/>
      <x:c r="M7" s="262"/>
      <x:c r="N7" s="262"/>
      <x:c r="O7" s="262"/>
      <x:c r="P7" s="262"/>
    </x:row>
    <x:row r="8">
      <x:c r="A8" s="265" t="str">
        <x:v>Upside</x:v>
      </x:c>
      <x:c r="B8" s="266" t="n">
        <x:f>'Operating Model'!F81</x:f>
        <x:v>1440500</x:v>
      </x:c>
      <x:c r="C8" s="266" t="n">
        <x:f>'Operating Model'!F94</x:f>
        <x:v>456795</x:v>
      </x:c>
      <x:c r="D8" s="266" t="n">
        <x:f>SUM('Operating Model'!B81:F81)</x:f>
        <x:v>3389229.5</x:v>
      </x:c>
      <x:c r="E8" s="266" t="n">
        <x:f>SUM('Operating Model'!B94:F94)</x:f>
        <x:v>848819.415</x:v>
      </x:c>
      <x:c r="F8" s="265" t="n">
        <x:f>IF('Operating Model'!B94&gt;0,2027,IF('Operating Model'!C94&gt;0,2028,IF('Operating Model'!D94&gt;0,2029,IF('Operating Model'!E94&gt;0,2030,IF('Operating Model'!F94&gt;0,2031,"Not reached")))))</x:f>
        <x:v>2028</x:v>
      </x:c>
      <x:c r="G8" s="292" t="n">
        <x:f>'Operating Model'!F70</x:f>
        <x:v>50000</x:v>
      </x:c>
      <x:c r="H8" s="262"/>
      <x:c r="I8" s="262"/>
      <x:c r="J8" s="262"/>
      <x:c r="K8" s="262"/>
      <x:c r="L8" s="262"/>
      <x:c r="M8" s="262"/>
      <x:c r="N8" s="262"/>
      <x:c r="O8" s="262"/>
      <x:c r="P8" s="262"/>
    </x:row>
    <x:row r="9">
      <x:c r="A9" s="262"/>
      <x:c r="B9" s="262"/>
      <x:c r="C9" s="262"/>
      <x:c r="D9" s="262"/>
      <x:c r="E9" s="262"/>
      <x:c r="F9" s="262"/>
      <x:c r="G9" s="262"/>
      <x:c r="H9" s="262"/>
      <x:c r="I9" s="262"/>
      <x:c r="J9" s="262"/>
      <x:c r="K9" s="262"/>
      <x:c r="L9" s="262"/>
      <x:c r="M9" s="262"/>
      <x:c r="N9" s="262"/>
      <x:c r="O9" s="262"/>
      <x:c r="P9" s="262"/>
    </x:row>
    <x:row r="10">
      <x:c r="A10" s="262"/>
      <x:c r="B10" s="262"/>
      <x:c r="C10" s="262"/>
      <x:c r="D10" s="262"/>
      <x:c r="E10" s="262"/>
      <x:c r="F10" s="262"/>
      <x:c r="G10" s="262"/>
      <x:c r="H10" s="262"/>
      <x:c r="I10" s="262"/>
      <x:c r="J10" s="262"/>
      <x:c r="K10" s="262"/>
      <x:c r="L10" s="262"/>
      <x:c r="M10" s="262"/>
      <x:c r="N10" s="262"/>
      <x:c r="O10" s="262"/>
      <x:c r="P10" s="262"/>
    </x:row>
    <x:row r="11" ht="23" customHeight="1">
      <x:c r="A11" s="124" t="str">
        <x:v>ANNUAL NET REVENUE</x:v>
      </x:c>
      <x:c r="B11" s="124"/>
      <x:c r="C11" s="124"/>
      <x:c r="D11" s="124"/>
      <x:c r="E11" s="124"/>
      <x:c r="F11" s="124"/>
      <x:c r="G11" s="262"/>
      <x:c r="H11" s="262"/>
      <x:c r="I11" s="262"/>
      <x:c r="J11" s="262"/>
      <x:c r="K11" s="262"/>
      <x:c r="L11" s="262"/>
      <x:c r="M11" s="262"/>
      <x:c r="N11" s="262"/>
      <x:c r="O11" s="262"/>
      <x:c r="P11" s="262"/>
    </x:row>
    <x:row r="12" ht="28" customHeight="1">
      <x:c r="A12" s="134" t="str">
        <x:v>Scenario</x:v>
      </x:c>
      <x:c r="B12" s="135" t="n">
        <x:v>2027</x:v>
      </x:c>
      <x:c r="C12" s="135" t="n">
        <x:v>2028</x:v>
      </x:c>
      <x:c r="D12" s="135" t="n">
        <x:v>2029</x:v>
      </x:c>
      <x:c r="E12" s="135" t="n">
        <x:v>2030</x:v>
      </x:c>
      <x:c r="F12" s="136" t="n">
        <x:v>2031</x:v>
      </x:c>
      <x:c r="G12" s="262"/>
      <x:c r="H12" s="262"/>
      <x:c r="I12" s="262"/>
      <x:c r="J12" s="262"/>
      <x:c r="K12" s="262"/>
      <x:c r="L12" s="262"/>
      <x:c r="M12" s="262"/>
      <x:c r="N12" s="262"/>
      <x:c r="O12" s="262"/>
      <x:c r="P12" s="262"/>
    </x:row>
    <x:row r="13">
      <x:c r="A13" s="262" t="str">
        <x:v>Conservative</x:v>
      </x:c>
      <x:c r="B13" s="263" t="n">
        <x:f>'Operating Model'!B49</x:f>
        <x:v>32760</x:v>
      </x:c>
      <x:c r="C13" s="263" t="n">
        <x:f>'Operating Model'!C49</x:f>
        <x:v>73125</x:v>
      </x:c>
      <x:c r="D13" s="263" t="n">
        <x:f>'Operating Model'!D49</x:f>
        <x:v>138000</x:v>
      </x:c>
      <x:c r="E13" s="263" t="n">
        <x:f>'Operating Model'!E49</x:f>
        <x:v>206640</x:v>
      </x:c>
      <x:c r="F13" s="263" t="n">
        <x:f>'Operating Model'!F49</x:f>
        <x:v>302400</x:v>
      </x:c>
      <x:c r="G13" s="262"/>
      <x:c r="H13" s="262"/>
      <x:c r="I13" s="262"/>
      <x:c r="J13" s="262"/>
      <x:c r="K13" s="262"/>
      <x:c r="L13" s="262"/>
      <x:c r="M13" s="262"/>
      <x:c r="N13" s="262"/>
      <x:c r="O13" s="262"/>
      <x:c r="P13" s="262"/>
    </x:row>
    <x:row r="14">
      <x:c r="A14" s="262" t="str">
        <x:v>Base</x:v>
      </x:c>
      <x:c r="B14" s="263" t="n">
        <x:f>'Operating Model'!B17</x:f>
        <x:v>67470</x:v>
      </x:c>
      <x:c r="C14" s="263" t="n">
        <x:f>'Operating Model'!C17</x:f>
        <x:v>152100</x:v>
      </x:c>
      <x:c r="D14" s="263" t="n">
        <x:f>'Operating Model'!D17</x:f>
        <x:v>288000</x:v>
      </x:c>
      <x:c r="E14" s="263" t="n">
        <x:f>'Operating Model'!E17</x:f>
        <x:v>468384</x:v>
      </x:c>
      <x:c r="F14" s="263" t="n">
        <x:f>'Operating Model'!F17</x:f>
        <x:v>687960</x:v>
      </x:c>
      <x:c r="G14" s="262"/>
      <x:c r="H14" s="262"/>
      <x:c r="I14" s="262"/>
      <x:c r="J14" s="262"/>
      <x:c r="K14" s="262"/>
      <x:c r="L14" s="262"/>
      <x:c r="M14" s="262"/>
      <x:c r="N14" s="262"/>
      <x:c r="O14" s="262"/>
      <x:c r="P14" s="262"/>
    </x:row>
    <x:row r="15">
      <x:c r="A15" s="262" t="str">
        <x:v>Upside</x:v>
      </x:c>
      <x:c r="B15" s="263" t="n">
        <x:f>'Operating Model'!B81</x:f>
        <x:v>122167.5</x:v>
      </x:c>
      <x:c r="C15" s="263" t="n">
        <x:f>'Operating Model'!C81</x:f>
        <x:v>297000</x:v>
      </x:c>
      <x:c r="D15" s="263" t="n">
        <x:f>'Operating Model'!D81</x:f>
        <x:v>564570</x:v>
      </x:c>
      <x:c r="E15" s="263" t="n">
        <x:f>'Operating Model'!E81</x:f>
        <x:v>964992</x:v>
      </x:c>
      <x:c r="F15" s="263" t="n">
        <x:f>'Operating Model'!F81</x:f>
        <x:v>1440500</x:v>
      </x:c>
      <x:c r="G15" s="262"/>
      <x:c r="H15" s="262"/>
      <x:c r="I15" s="262"/>
      <x:c r="J15" s="262"/>
      <x:c r="K15" s="262"/>
      <x:c r="L15" s="262"/>
      <x:c r="M15" s="262"/>
      <x:c r="N15" s="262"/>
      <x:c r="O15" s="262"/>
      <x:c r="P15" s="262"/>
    </x:row>
    <x:row r="16">
      <x:c r="A16" s="262"/>
      <x:c r="B16" s="262"/>
      <x:c r="C16" s="262"/>
      <x:c r="D16" s="262"/>
      <x:c r="E16" s="262"/>
      <x:c r="F16" s="262"/>
      <x:c r="G16" s="262"/>
      <x:c r="H16" s="262"/>
      <x:c r="I16" s="262"/>
      <x:c r="J16" s="262"/>
      <x:c r="K16" s="262"/>
      <x:c r="L16" s="262"/>
      <x:c r="M16" s="262"/>
      <x:c r="N16" s="262"/>
      <x:c r="O16" s="262"/>
      <x:c r="P16" s="262"/>
    </x:row>
    <x:row r="17">
      <x:c r="A17" s="262"/>
      <x:c r="B17" s="262"/>
      <x:c r="C17" s="262"/>
      <x:c r="D17" s="262"/>
      <x:c r="E17" s="262"/>
      <x:c r="F17" s="262"/>
      <x:c r="G17" s="262"/>
      <x:c r="H17" s="262"/>
      <x:c r="I17" s="262"/>
      <x:c r="J17" s="262"/>
      <x:c r="K17" s="262"/>
      <x:c r="L17" s="262"/>
      <x:c r="M17" s="262"/>
      <x:c r="N17" s="262"/>
      <x:c r="O17" s="262"/>
      <x:c r="P17" s="262"/>
    </x:row>
    <x:row r="18" ht="23" customHeight="1">
      <x:c r="A18" s="124" t="str">
        <x:v>ANNUAL EBITDA</x:v>
      </x:c>
      <x:c r="B18" s="124"/>
      <x:c r="C18" s="124"/>
      <x:c r="D18" s="124"/>
      <x:c r="E18" s="124"/>
      <x:c r="F18" s="124"/>
      <x:c r="G18" s="262"/>
      <x:c r="H18" s="262"/>
      <x:c r="I18" s="262"/>
      <x:c r="J18" s="262"/>
      <x:c r="K18" s="262"/>
      <x:c r="L18" s="262"/>
      <x:c r="M18" s="262"/>
      <x:c r="N18" s="262"/>
      <x:c r="O18" s="262"/>
      <x:c r="P18" s="262"/>
    </x:row>
    <x:row r="19" ht="28" customHeight="1">
      <x:c r="A19" s="134" t="str">
        <x:v>Scenario</x:v>
      </x:c>
      <x:c r="B19" s="135" t="n">
        <x:v>2027</x:v>
      </x:c>
      <x:c r="C19" s="135" t="n">
        <x:v>2028</x:v>
      </x:c>
      <x:c r="D19" s="135" t="n">
        <x:v>2029</x:v>
      </x:c>
      <x:c r="E19" s="135" t="n">
        <x:v>2030</x:v>
      </x:c>
      <x:c r="F19" s="136" t="n">
        <x:v>2031</x:v>
      </x:c>
      <x:c r="G19" s="262"/>
      <x:c r="H19" s="262"/>
      <x:c r="I19" s="262"/>
      <x:c r="J19" s="262"/>
      <x:c r="K19" s="262"/>
      <x:c r="L19" s="262"/>
      <x:c r="M19" s="262"/>
      <x:c r="N19" s="262"/>
      <x:c r="O19" s="262"/>
      <x:c r="P19" s="262"/>
    </x:row>
    <x:row r="20">
      <x:c r="A20" s="262" t="str">
        <x:v>Conservative</x:v>
      </x:c>
      <x:c r="B20" s="263" t="n">
        <x:f>'Operating Model'!B62</x:f>
        <x:v>-33681.8</x:v>
      </x:c>
      <x:c r="C20" s="263" t="n">
        <x:f>'Operating Model'!C62</x:f>
        <x:v>-46327.5</x:v>
      </x:c>
      <x:c r="D20" s="263" t="n">
        <x:f>'Operating Model'!D62</x:f>
        <x:v>-38652.5</x:v>
      </x:c>
      <x:c r="E20" s="263" t="n">
        <x:f>'Operating Model'!E62</x:f>
        <x:v>-30843.199999999997</x:v>
      </x:c>
      <x:c r="F20" s="263" t="n">
        <x:f>'Operating Model'!F62</x:f>
        <x:v>-8468</x:v>
      </x:c>
      <x:c r="G20" s="262"/>
      <x:c r="H20" s="262"/>
      <x:c r="I20" s="262"/>
      <x:c r="J20" s="262"/>
      <x:c r="K20" s="262"/>
      <x:c r="L20" s="262"/>
      <x:c r="M20" s="262"/>
      <x:c r="N20" s="262"/>
      <x:c r="O20" s="262"/>
      <x:c r="P20" s="262"/>
    </x:row>
    <x:row r="21">
      <x:c r="A21" s="262" t="str">
        <x:v>Base</x:v>
      </x:c>
      <x:c r="B21" s="263" t="n">
        <x:f>'Operating Model'!B30</x:f>
        <x:v>-23109.1</x:v>
      </x:c>
      <x:c r="C21" s="263" t="n">
        <x:f>'Operating Model'!C30</x:f>
        <x:v>-28073</x:v>
      </x:c>
      <x:c r="D21" s="263" t="n">
        <x:f>'Operating Model'!D30</x:f>
        <x:v>-4890</x:v>
      </x:c>
      <x:c r="E21" s="263" t="n">
        <x:f>'Operating Model'!E30</x:f>
        <x:v>40958.28</x:v>
      </x:c>
      <x:c r="F21" s="263" t="n">
        <x:f>'Operating Model'!F30</x:f>
        <x:v>111670.20000000001</x:v>
      </x:c>
      <x:c r="G21" s="262"/>
      <x:c r="H21" s="262"/>
      <x:c r="I21" s="262"/>
      <x:c r="J21" s="262"/>
      <x:c r="K21" s="262"/>
      <x:c r="L21" s="262"/>
      <x:c r="M21" s="262"/>
      <x:c r="N21" s="262"/>
      <x:c r="O21" s="262"/>
      <x:c r="P21" s="262"/>
    </x:row>
    <x:row r="22">
      <x:c r="A22" s="262" t="str">
        <x:v>Upside</x:v>
      </x:c>
      <x:c r="B22" s="263" t="n">
        <x:f>'Operating Model'!B94</x:f>
        <x:v>-5583.5250000000015</x:v>
      </x:c>
      <x:c r="C22" s="263" t="n">
        <x:f>'Operating Model'!C94</x:f>
        <x:v>28366</x:v>
      </x:c>
      <x:c r="D22" s="263" t="n">
        <x:f>'Operating Model'!D94</x:f>
        <x:v>109959.70000000001</x:v>
      </x:c>
      <x:c r="E22" s="263" t="n">
        <x:f>'Operating Model'!E94</x:f>
        <x:v>259282.24</x:v>
      </x:c>
      <x:c r="F22" s="263" t="n">
        <x:f>'Operating Model'!F94</x:f>
        <x:v>456795</x:v>
      </x:c>
      <x:c r="G22" s="262"/>
      <x:c r="H22" s="262"/>
      <x:c r="I22" s="262"/>
      <x:c r="J22" s="262"/>
      <x:c r="K22" s="262"/>
      <x:c r="L22" s="262"/>
      <x:c r="M22" s="262"/>
      <x:c r="N22" s="262"/>
      <x:c r="O22" s="262"/>
      <x:c r="P22" s="262"/>
    </x:row>
    <x:row r="23">
      <x:c r="A23" s="262"/>
      <x:c r="B23" s="262"/>
      <x:c r="C23" s="262"/>
      <x:c r="D23" s="262"/>
      <x:c r="E23" s="262"/>
      <x:c r="F23" s="262"/>
      <x:c r="G23" s="262"/>
      <x:c r="H23" s="262"/>
      <x:c r="I23" s="262"/>
      <x:c r="J23" s="262"/>
      <x:c r="K23" s="262"/>
      <x:c r="L23" s="262"/>
      <x:c r="M23" s="262"/>
      <x:c r="N23" s="262"/>
      <x:c r="O23" s="262"/>
      <x:c r="P23" s="262"/>
    </x:row>
    <x:row r="24">
      <x:c r="A24" s="262"/>
      <x:c r="B24" s="262"/>
      <x:c r="C24" s="262"/>
      <x:c r="D24" s="262"/>
      <x:c r="E24" s="262"/>
      <x:c r="F24" s="262"/>
      <x:c r="G24" s="262"/>
      <x:c r="H24" s="262"/>
      <x:c r="I24" s="262"/>
      <x:c r="J24" s="262"/>
      <x:c r="K24" s="262"/>
      <x:c r="L24" s="262"/>
      <x:c r="M24" s="262"/>
      <x:c r="N24" s="262"/>
      <x:c r="O24" s="262"/>
      <x:c r="P24" s="262"/>
    </x:row>
    <x:row r="25">
      <x:c r="A25" s="262"/>
      <x:c r="B25" s="262"/>
      <x:c r="C25" s="262"/>
      <x:c r="D25" s="262"/>
      <x:c r="E25" s="262"/>
      <x:c r="F25" s="262"/>
      <x:c r="G25" s="262"/>
      <x:c r="H25" s="262"/>
      <x:c r="I25" s="262"/>
      <x:c r="J25" s="262"/>
      <x:c r="K25" s="262"/>
      <x:c r="L25" s="262"/>
      <x:c r="M25" s="262"/>
      <x:c r="N25" s="262"/>
      <x:c r="O25" s="262"/>
      <x:c r="P25" s="262"/>
    </x:row>
    <x:row r="26">
      <x:c r="A26" s="262"/>
      <x:c r="B26" s="262"/>
      <x:c r="C26" s="262"/>
      <x:c r="D26" s="262"/>
      <x:c r="E26" s="262"/>
      <x:c r="F26" s="262"/>
      <x:c r="G26" s="262"/>
      <x:c r="H26" s="262"/>
      <x:c r="I26" s="262"/>
      <x:c r="J26" s="262"/>
      <x:c r="K26" s="262"/>
      <x:c r="L26" s="262"/>
      <x:c r="M26" s="262"/>
      <x:c r="N26" s="262"/>
      <x:c r="O26" s="262"/>
      <x:c r="P26" s="262"/>
    </x:row>
    <x:row r="27">
      <x:c r="A27" s="262"/>
      <x:c r="B27" s="262"/>
      <x:c r="C27" s="262"/>
      <x:c r="D27" s="262"/>
      <x:c r="E27" s="262"/>
      <x:c r="F27" s="262"/>
      <x:c r="G27" s="262"/>
      <x:c r="H27" s="262"/>
      <x:c r="I27" s="262"/>
      <x:c r="J27" s="262"/>
      <x:c r="K27" s="262"/>
      <x:c r="L27" s="262"/>
      <x:c r="M27" s="262"/>
      <x:c r="N27" s="262"/>
      <x:c r="O27" s="262"/>
      <x:c r="P27" s="262"/>
    </x:row>
    <x:row r="28">
      <x:c r="A28" s="262"/>
      <x:c r="B28" s="262"/>
      <x:c r="C28" s="262"/>
      <x:c r="D28" s="262"/>
      <x:c r="E28" s="262"/>
      <x:c r="F28" s="262"/>
      <x:c r="G28" s="262"/>
      <x:c r="H28" s="262"/>
      <x:c r="I28" s="262"/>
      <x:c r="J28" s="262"/>
      <x:c r="K28" s="262"/>
      <x:c r="L28" s="262"/>
      <x:c r="M28" s="262"/>
      <x:c r="N28" s="262"/>
      <x:c r="O28" s="262"/>
      <x:c r="P28" s="262"/>
    </x:row>
    <x:row r="29">
      <x:c r="A29" s="262"/>
      <x:c r="B29" s="262"/>
      <x:c r="C29" s="262"/>
      <x:c r="D29" s="262"/>
      <x:c r="E29" s="262"/>
      <x:c r="F29" s="262"/>
      <x:c r="G29" s="262"/>
      <x:c r="H29" s="262"/>
      <x:c r="I29" s="262"/>
      <x:c r="J29" s="262"/>
      <x:c r="K29" s="262"/>
      <x:c r="L29" s="262"/>
      <x:c r="M29" s="262"/>
      <x:c r="N29" s="262"/>
      <x:c r="O29" s="262"/>
      <x:c r="P29" s="262"/>
    </x:row>
    <x:row r="30">
      <x:c r="A30" s="262"/>
      <x:c r="B30" s="262"/>
      <x:c r="C30" s="262"/>
      <x:c r="D30" s="262"/>
      <x:c r="E30" s="262"/>
      <x:c r="F30" s="262"/>
      <x:c r="G30" s="262"/>
      <x:c r="H30" s="262"/>
      <x:c r="I30" s="262"/>
      <x:c r="J30" s="262"/>
      <x:c r="K30" s="262"/>
      <x:c r="L30" s="262"/>
      <x:c r="M30" s="262"/>
      <x:c r="N30" s="262"/>
      <x:c r="O30" s="262"/>
      <x:c r="P30" s="262"/>
    </x:row>
    <x:row r="31">
      <x:c r="A31" s="262"/>
      <x:c r="B31" s="262"/>
      <x:c r="C31" s="262"/>
      <x:c r="D31" s="262"/>
      <x:c r="E31" s="262"/>
      <x:c r="F31" s="262"/>
      <x:c r="G31" s="262"/>
      <x:c r="H31" s="262"/>
      <x:c r="I31" s="262"/>
      <x:c r="J31" s="262"/>
      <x:c r="K31" s="262"/>
      <x:c r="L31" s="262"/>
      <x:c r="M31" s="262"/>
      <x:c r="N31" s="262"/>
      <x:c r="O31" s="262"/>
      <x:c r="P31" s="262"/>
    </x:row>
    <x:row r="32">
      <x:c r="A32" s="262"/>
      <x:c r="B32" s="262"/>
      <x:c r="C32" s="262"/>
      <x:c r="D32" s="262"/>
      <x:c r="E32" s="262"/>
      <x:c r="F32" s="262"/>
      <x:c r="G32" s="262"/>
      <x:c r="H32" s="262"/>
      <x:c r="I32" s="262"/>
      <x:c r="J32" s="262"/>
      <x:c r="K32" s="262"/>
      <x:c r="L32" s="262"/>
      <x:c r="M32" s="262"/>
      <x:c r="N32" s="262"/>
      <x:c r="O32" s="262"/>
      <x:c r="P32" s="262"/>
    </x:row>
    <x:row r="33">
      <x:c r="A33" s="262"/>
      <x:c r="B33" s="262"/>
      <x:c r="C33" s="262"/>
      <x:c r="D33" s="262"/>
      <x:c r="E33" s="262"/>
      <x:c r="F33" s="262"/>
      <x:c r="G33" s="262"/>
      <x:c r="H33" s="262"/>
      <x:c r="I33" s="262"/>
      <x:c r="J33" s="262"/>
      <x:c r="K33" s="262"/>
      <x:c r="L33" s="262"/>
      <x:c r="M33" s="262"/>
      <x:c r="N33" s="262"/>
      <x:c r="O33" s="262"/>
      <x:c r="P33" s="262"/>
    </x:row>
    <x:row r="34">
      <x:c r="A34" s="262"/>
      <x:c r="B34" s="262"/>
      <x:c r="C34" s="262"/>
      <x:c r="D34" s="262"/>
      <x:c r="E34" s="262"/>
      <x:c r="F34" s="262"/>
      <x:c r="G34" s="262"/>
      <x:c r="H34" s="262"/>
      <x:c r="I34" s="262"/>
      <x:c r="J34" s="262"/>
      <x:c r="K34" s="262"/>
      <x:c r="L34" s="262"/>
      <x:c r="M34" s="262"/>
      <x:c r="N34" s="262"/>
      <x:c r="O34" s="262"/>
      <x:c r="P34" s="262"/>
    </x:row>
  </x:sheetData>
  <x:mergeCells>
    <x:mergeCell ref="A1:G2"/>
    <x:mergeCell ref="A3:G3"/>
    <x:mergeCell ref="A11:F11"/>
    <x:mergeCell ref="A18:F18"/>
  </x:mergeCells>
  <x:pageMargins left="0.7" right="0.7" top="0.75" bottom="0.75" header="0.3" footer="0.3"/>
  <x:drawing xmlns:r="http://schemas.openxmlformats.org/officeDocument/2006/relationships" r:id="R69aed922ce754d7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8" hidden="0" customWidth="1"/>
    <x:col min="4" max="4" width="38" hidden="0" customWidth="1"/>
    <x:col min="5" max="5" width="15" hidden="0" customWidth="1"/>
    <x:col min="6" max="6" width="15" hidden="0" customWidth="1"/>
  </x:cols>
  <x:sheetData>
    <x:row r="1" ht="34" customHeight="1">
      <x:c r="A1" s="121" t="str">
        <x:v>CASH RESERVE &amp; FUNDING GATES</x:v>
      </x:c>
      <x:c r="B1" s="121"/>
      <x:c r="C1" s="121"/>
      <x:c r="D1" s="121"/>
      <x:c r="E1" s="121"/>
      <x:c r="F1" s="121"/>
    </x:row>
    <x:row r="2" ht="34" customHeight="1">
      <x:c r="A2" s="121"/>
      <x:c r="B2" s="121"/>
      <x:c r="C2" s="121"/>
      <x:c r="D2" s="121"/>
      <x:c r="E2" s="121"/>
      <x:c r="F2" s="121"/>
    </x:row>
    <x:row r="3">
      <x:c r="A3" s="309" t="str">
        <x:v>Base-case liquidity view. EBITDA is used as a simplified cash proxy; inventory timing, tax, debt, and receivables are not modeled.</x:v>
      </x:c>
      <x:c r="B3" s="309"/>
      <x:c r="C3" s="309"/>
      <x:c r="D3" s="309"/>
      <x:c r="E3" s="309"/>
      <x:c r="F3" s="309"/>
    </x:row>
    <x:row r="4">
      <x:c r="A4" s="262"/>
      <x:c r="B4" s="262"/>
      <x:c r="C4" s="262"/>
      <x:c r="D4" s="262"/>
      <x:c r="E4" s="262"/>
      <x:c r="F4" s="262"/>
    </x:row>
    <x:row r="5" ht="23" customHeight="1">
      <x:c r="A5" s="124" t="str">
        <x:v>BASE-CASE CASH ROLL-FORWARD</x:v>
      </x:c>
      <x:c r="B5" s="124"/>
      <x:c r="C5" s="124"/>
      <x:c r="D5" s="124"/>
      <x:c r="E5" s="124"/>
      <x:c r="F5" s="124"/>
    </x:row>
    <x:row r="6" ht="28" customHeight="1">
      <x:c r="A6" s="134" t="str">
        <x:v>$</x:v>
      </x:c>
      <x:c r="B6" s="135" t="n">
        <x:v>2027</x:v>
      </x:c>
      <x:c r="C6" s="135" t="n">
        <x:v>2028</x:v>
      </x:c>
      <x:c r="D6" s="135" t="n">
        <x:v>2029</x:v>
      </x:c>
      <x:c r="E6" s="135" t="n">
        <x:v>2030</x:v>
      </x:c>
      <x:c r="F6" s="136" t="n">
        <x:v>2031</x:v>
      </x:c>
    </x:row>
    <x:row r="7">
      <x:c r="A7" s="262" t="str">
        <x:v>Beginning Cash</x:v>
      </x:c>
      <x:c r="B7" s="263" t="n">
        <x:f>'Assumptions'!$B$14</x:f>
        <x:v>75000</x:v>
      </x:c>
      <x:c r="C7" s="263" t="n">
        <x:f>B9</x:f>
        <x:v>51890.9</x:v>
      </x:c>
      <x:c r="D7" s="263" t="n">
        <x:f>C9</x:f>
        <x:v>23817.9</x:v>
      </x:c>
      <x:c r="E7" s="263" t="n">
        <x:f>D9</x:f>
        <x:v>18927.9</x:v>
      </x:c>
      <x:c r="F7" s="263" t="n">
        <x:f>E9</x:f>
        <x:v>59886.18</x:v>
      </x:c>
    </x:row>
    <x:row r="8">
      <x:c r="A8" s="262" t="str">
        <x:v>EBITDA</x:v>
      </x:c>
      <x:c r="B8" s="263" t="n">
        <x:f>'Operating Model'!B30</x:f>
        <x:v>-23109.1</x:v>
      </x:c>
      <x:c r="C8" s="263" t="n">
        <x:f>'Operating Model'!C30</x:f>
        <x:v>-28073</x:v>
      </x:c>
      <x:c r="D8" s="263" t="n">
        <x:f>'Operating Model'!D30</x:f>
        <x:v>-4890</x:v>
      </x:c>
      <x:c r="E8" s="263" t="n">
        <x:f>'Operating Model'!E30</x:f>
        <x:v>40958.28</x:v>
      </x:c>
      <x:c r="F8" s="263" t="n">
        <x:f>'Operating Model'!F30</x:f>
        <x:v>111670.20000000001</x:v>
      </x:c>
    </x:row>
    <x:row r="9">
      <x:c r="A9" s="298" t="str">
        <x:v>Ending Cash</x:v>
      </x:c>
      <x:c r="B9" s="299" t="n">
        <x:f>B7+B8</x:f>
        <x:v>51890.9</x:v>
      </x:c>
      <x:c r="C9" s="299" t="n">
        <x:f>C7+C8</x:f>
        <x:v>23817.9</x:v>
      </x:c>
      <x:c r="D9" s="299" t="n">
        <x:f>D7+D8</x:f>
        <x:v>18927.9</x:v>
      </x:c>
      <x:c r="E9" s="299" t="n">
        <x:f>E7+E8</x:f>
        <x:v>59886.18</x:v>
      </x:c>
      <x:c r="F9" s="299" t="n">
        <x:f>F7+F8</x:f>
        <x:v>171556.38</x:v>
      </x:c>
    </x:row>
    <x:row r="10">
      <x:c r="A10" s="262" t="str">
        <x:v>Minimum Cash Flag</x:v>
      </x:c>
      <x:c r="B10" s="262" t="str">
        <x:f>IF(B9&lt;15000,"LOW","OK")</x:f>
        <x:v>OK</x:v>
      </x:c>
      <x:c r="C10" s="262" t="str">
        <x:f>IF(C9&lt;15000,"LOW","OK")</x:f>
        <x:v>OK</x:v>
      </x:c>
      <x:c r="D10" s="262" t="str">
        <x:f>IF(D9&lt;15000,"LOW","OK")</x:f>
        <x:v>OK</x:v>
      </x:c>
      <x:c r="E10" s="262" t="str">
        <x:f>IF(E9&lt;15000,"LOW","OK")</x:f>
        <x:v>OK</x:v>
      </x:c>
      <x:c r="F10" s="262" t="str">
        <x:f>IF(F9&lt;15000,"LOW","OK")</x:f>
        <x:v>OK</x:v>
      </x:c>
    </x:row>
    <x:row r="11">
      <x:c r="A11" s="262"/>
      <x:c r="B11" s="262"/>
      <x:c r="C11" s="262"/>
      <x:c r="D11" s="262"/>
      <x:c r="E11" s="262"/>
      <x:c r="F11" s="262"/>
    </x:row>
    <x:row r="12">
      <x:c r="A12" s="262"/>
      <x:c r="B12" s="262"/>
      <x:c r="C12" s="262"/>
      <x:c r="D12" s="262"/>
      <x:c r="E12" s="262"/>
      <x:c r="F12" s="262"/>
    </x:row>
    <x:row r="13" ht="23" customHeight="1">
      <x:c r="A13" s="124" t="str">
        <x:v>MILESTONE-GATED USE OF FUNDS</x:v>
      </x:c>
      <x:c r="B13" s="124"/>
      <x:c r="C13" s="124"/>
      <x:c r="D13" s="124"/>
      <x:c r="E13" s="262"/>
      <x:c r="F13" s="262"/>
    </x:row>
    <x:row r="14" ht="28" customHeight="1">
      <x:c r="A14" s="134" t="str">
        <x:v>Use</x:v>
      </x:c>
      <x:c r="B14" s="135" t="str">
        <x:v>Amount</x:v>
      </x:c>
      <x:c r="C14" s="135" t="str">
        <x:v>Release Gate</x:v>
      </x:c>
      <x:c r="D14" s="136" t="str">
        <x:v>Purpose</x:v>
      </x:c>
      <x:c r="E14" s="262"/>
      <x:c r="F14" s="262"/>
    </x:row>
    <x:row r="15">
      <x:c r="A15" s="262" t="str">
        <x:v>Prototypes &amp; playtesting</x:v>
      </x:c>
      <x:c r="B15" s="283" t="n">
        <x:v>5000</x:v>
      </x:c>
      <x:c r="C15" s="281" t="str">
        <x:v>Concept gate</x:v>
      </x:c>
      <x:c r="D15" s="281" t="str">
        <x:v>Fast evidence before final art</x:v>
      </x:c>
      <x:c r="E15" s="262"/>
      <x:c r="F15" s="262"/>
    </x:row>
    <x:row r="16">
      <x:c r="A16" s="262" t="str">
        <x:v>Development, art &amp; graphics</x:v>
      </x:c>
      <x:c r="B16" s="283" t="n">
        <x:v>18000</x:v>
      </x:c>
      <x:c r="C16" s="281" t="str">
        <x:v>External playtest gate</x:v>
      </x:c>
      <x:c r="D16" s="281" t="str">
        <x:v>Staged contractor commitments</x:v>
      </x:c>
      <x:c r="E16" s="262"/>
      <x:c r="F16" s="262"/>
    </x:row>
    <x:row r="17">
      <x:c r="A17" s="262" t="str">
        <x:v>Campaign creative &amp; prelaunch</x:v>
      </x:c>
      <x:c r="B17" s="283" t="n">
        <x:v>12000</x:v>
      </x:c>
      <x:c r="C17" s="281" t="str">
        <x:v>Blind-test + audience gates</x:v>
      </x:c>
      <x:c r="D17" s="281" t="str">
        <x:v>Preview assets and proven promotion</x:v>
      </x:c>
      <x:c r="E17" s="262"/>
      <x:c r="F17" s="262"/>
    </x:row>
    <x:row r="18">
      <x:c r="A18" s="262" t="str">
        <x:v>Legal, IP, insurance, compliance</x:v>
      </x:c>
      <x:c r="B18" s="283" t="n">
        <x:v>4000</x:v>
      </x:c>
      <x:c r="C18" s="281" t="str">
        <x:v>Before public brand spend</x:v>
      </x:c>
      <x:c r="D18" s="281" t="str">
        <x:v>Ownership, clearance, risk controls</x:v>
      </x:c>
      <x:c r="E18" s="262"/>
      <x:c r="F18" s="262"/>
    </x:row>
    <x:row r="19">
      <x:c r="A19" s="262" t="str">
        <x:v>Manufacturing/fulfillment working capital</x:v>
      </x:c>
      <x:c r="B19" s="283" t="n">
        <x:v>20000</x:v>
      </x:c>
      <x:c r="C19" s="281" t="str">
        <x:v>Successful campaign + final quotes</x:v>
      </x:c>
      <x:c r="D19" s="281" t="str">
        <x:v>Deposits and timing buffer</x:v>
      </x:c>
      <x:c r="E19" s="262"/>
      <x:c r="F19" s="262"/>
    </x:row>
    <x:row r="20">
      <x:c r="A20" s="262" t="str">
        <x:v>General overhead/tools</x:v>
      </x:c>
      <x:c r="B20" s="283" t="n">
        <x:v>4000</x:v>
      </x:c>
      <x:c r="C20" s="281" t="str">
        <x:v>Monthly cap</x:v>
      </x:c>
      <x:c r="D20" s="281" t="str">
        <x:v>Software, samples, administration</x:v>
      </x:c>
      <x:c r="E20" s="262"/>
      <x:c r="F20" s="262"/>
    </x:row>
    <x:row r="21">
      <x:c r="A21" s="265" t="str">
        <x:v>Contingency</x:v>
      </x:c>
      <x:c r="B21" s="285" t="n">
        <x:v>12000</x:v>
      </x:c>
      <x:c r="C21" s="286" t="str">
        <x:v>Joint founder approval</x:v>
      </x:c>
      <x:c r="D21" s="286" t="str">
        <x:v>Cost, duty, quality, or schedule shock</x:v>
      </x:c>
      <x:c r="E21" s="262"/>
      <x:c r="F21" s="262"/>
    </x:row>
    <x:row r="22">
      <x:c r="A22" s="298" t="str">
        <x:v>Total</x:v>
      </x:c>
      <x:c r="B22" s="299" t="n">
        <x:f>SUM(B15:B21)</x:f>
        <x:v>75000</x:v>
      </x:c>
      <x:c r="C22" s="298" t="str">
        <x:v>Must equal seed reserve</x:v>
      </x:c>
      <x:c r="D22" s="298" t="str">
        <x:f>IF(B22='Assumptions'!$B$14,"PASS","FAIL")</x:f>
        <x:v>PASS</x:v>
      </x:c>
      <x:c r="E22" s="262"/>
      <x:c r="F22" s="262"/>
    </x:row>
    <x:row r="23">
      <x:c r="A23" s="262"/>
      <x:c r="B23" s="262"/>
      <x:c r="C23" s="262"/>
      <x:c r="D23" s="262"/>
      <x:c r="E23" s="262"/>
      <x:c r="F23" s="262"/>
    </x:row>
    <x:row r="24">
      <x:c r="A24" s="154" t="str">
        <x:v>Funding rule: do not treat the $75,000 reserve as permission to spend. Each tranche is released only after the preceding evidence gate. Crowdfunding product receipts are modeled in revenue and should not be double-counted as financing.</x:v>
      </x:c>
      <x:c r="B24" s="155"/>
      <x:c r="C24" s="155"/>
      <x:c r="D24" s="155"/>
      <x:c r="E24" s="155"/>
      <x:c r="F24" s="156"/>
    </x:row>
    <x:row r="25">
      <x:c r="A25" s="157"/>
      <x:c r="B25" s="158"/>
      <x:c r="C25" s="158"/>
      <x:c r="D25" s="158"/>
      <x:c r="E25" s="158"/>
      <x:c r="F25" s="159"/>
    </x:row>
    <x:row r="26">
      <x:c r="A26" s="157"/>
      <x:c r="B26" s="158"/>
      <x:c r="C26" s="158"/>
      <x:c r="D26" s="158"/>
      <x:c r="E26" s="158"/>
      <x:c r="F26" s="159"/>
    </x:row>
    <x:row r="27">
      <x:c r="A27" s="160"/>
      <x:c r="B27" s="161"/>
      <x:c r="C27" s="161"/>
      <x:c r="D27" s="161"/>
      <x:c r="E27" s="161"/>
      <x:c r="F27" s="162"/>
    </x:row>
    <x:row r="28">
      <x:c r="A28" s="262"/>
      <x:c r="B28" s="262"/>
      <x:c r="C28" s="262"/>
      <x:c r="D28" s="262"/>
      <x:c r="E28" s="262"/>
      <x:c r="F28" s="262"/>
    </x:row>
    <x:row r="29">
      <x:c r="A29" s="262"/>
      <x:c r="B29" s="262"/>
      <x:c r="C29" s="262"/>
      <x:c r="D29" s="262"/>
      <x:c r="E29" s="262"/>
      <x:c r="F29" s="262"/>
    </x:row>
    <x:row r="30">
      <x:c r="A30" s="262"/>
      <x:c r="B30" s="262"/>
      <x:c r="C30" s="262"/>
      <x:c r="D30" s="262"/>
      <x:c r="E30" s="262"/>
      <x:c r="F30" s="262"/>
    </x:row>
  </x:sheetData>
  <x:mergeCells>
    <x:mergeCell ref="A1:F2"/>
    <x:mergeCell ref="A3:F3"/>
    <x:mergeCell ref="A5:F5"/>
    <x:mergeCell ref="A13:D13"/>
    <x:mergeCell ref="A24:F27"/>
  </x:mergeCells>
  <x:conditionalFormatting sqref="B10:F10">
    <x:cfRule type="containsText" dxfId="0" priority="1" operator="containsText" text="LOW"/>
    <x:cfRule type="containsText" dxfId="1" priority="2" operator="containsText" text="O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</x:cols>
  <x:sheetData>
    <x:row r="1" ht="34" customHeight="1">
      <x:c r="A1" s="121" t="str">
        <x:v>MODEL CHECKS</x:v>
      </x:c>
      <x:c r="B1" s="121"/>
      <x:c r="C1" s="121"/>
      <x:c r="D1" s="121"/>
      <x:c r="E1" s="121"/>
      <x:c r="F1" s="121"/>
      <x:c r="G1" s="121"/>
    </x:row>
    <x:row r="2" ht="34" customHeight="1">
      <x:c r="A2" s="121"/>
      <x:c r="B2" s="121"/>
      <x:c r="C2" s="121"/>
      <x:c r="D2" s="121"/>
      <x:c r="E2" s="121"/>
      <x:c r="F2" s="121"/>
      <x:c r="G2" s="121"/>
    </x:row>
    <x:row r="3">
      <x:c r="A3" s="310" t="str">
        <x:f>"MODEL STATUS: "&amp;IF(COUNTIF(F7:F13,"FAIL")=0,"PASS","FAIL")</x:f>
        <x:v>MODEL STATUS: PASS</x:v>
      </x:c>
      <x:c r="B3" s="310"/>
      <x:c r="C3" s="310"/>
      <x:c r="D3" s="310"/>
      <x:c r="E3" s="310"/>
      <x:c r="F3" s="310"/>
      <x:c r="G3" s="310"/>
    </x:row>
    <x:row r="4">
      <x:c r="A4" s="262"/>
      <x:c r="B4" s="262"/>
      <x:c r="C4" s="262"/>
      <x:c r="D4" s="262"/>
      <x:c r="E4" s="262"/>
      <x:c r="F4" s="262"/>
      <x:c r="G4" s="262"/>
    </x:row>
    <x:row r="5" ht="28" customHeight="1">
      <x:c r="A5" s="134" t="str">
        <x:v>Check</x:v>
      </x:c>
      <x:c r="B5" s="135" t="str">
        <x:v>Actual</x:v>
      </x:c>
      <x:c r="C5" s="135" t="str">
        <x:v>Expected</x:v>
      </x:c>
      <x:c r="D5" s="135" t="str">
        <x:v>Difference</x:v>
      </x:c>
      <x:c r="E5" s="135" t="str">
        <x:v>Tolerance</x:v>
      </x:c>
      <x:c r="F5" s="135" t="str">
        <x:v>Status</x:v>
      </x:c>
      <x:c r="G5" s="136" t="str">
        <x:v>Where to Fix / Notes</x:v>
      </x:c>
    </x:row>
    <x:row r="6">
      <x:c r="A6" s="262"/>
      <x:c r="B6" s="262"/>
      <x:c r="C6" s="262"/>
      <x:c r="D6" s="262"/>
      <x:c r="E6" s="262"/>
      <x:c r="F6" s="262"/>
      <x:c r="G6" s="262"/>
    </x:row>
    <x:row r="7">
      <x:c r="A7" s="262" t="str">
        <x:v>All channel mixes equal 100%</x:v>
      </x:c>
      <x:c r="B7" s="288" t="n">
        <x:f>MAX(ABS(SUM('Operating Model'!B8:B10)-1),ABS(SUM('Operating Model'!C8:C10)-1),ABS(SUM('Operating Model'!D8:D10)-1),ABS(SUM('Operating Model'!E8:E10)-1),ABS(SUM('Operating Model'!F8:F10)-1),ABS(SUM('Operating Model'!B40:B42)-1),ABS(SUM('Operating Model'!C40:C42)-1),ABS(SUM('Operating Model'!D40:D42)-1),ABS(SUM('Operating Model'!E40:E42)-1),ABS(SUM('Operating Model'!F40:F42)-1),ABS(SUM('Operating Model'!B72:B74)-1),ABS(SUM('Operating Model'!C72:C74)-1),ABS(SUM('Operating Model'!D72:D74)-1),ABS(SUM('Operating Model'!E72:E74)-1),ABS(SUM('Operating Model'!F72:F74)-1))</x:f>
        <x:v>0</x:v>
      </x:c>
      <x:c r="C7" s="288" t="n">
        <x:v>0</x:v>
      </x:c>
      <x:c r="D7" s="288" t="n">
        <x:f>B7-C7</x:f>
        <x:v>0</x:v>
      </x:c>
      <x:c r="E7" s="288" t="n">
        <x:v>0.0001</x:v>
      </x:c>
      <x:c r="F7" s="262" t="str">
        <x:f>IF(ABS(D7)&lt;=E7,"PASS","FAIL")</x:f>
        <x:v>PASS</x:v>
      </x:c>
      <x:c r="G7" s="281" t="str">
        <x:v>Operating Model channel-mix rows</x:v>
      </x:c>
    </x:row>
    <x:row r="8">
      <x:c r="A8" s="262" t="str">
        <x:v>Use of funds equals seed reserve</x:v>
      </x:c>
      <x:c r="B8" s="263" t="n">
        <x:f>'Cash &amp; Funding'!B22</x:f>
        <x:v>75000</x:v>
      </x:c>
      <x:c r="C8" s="263" t="n">
        <x:f>'Assumptions'!B14</x:f>
        <x:v>75000</x:v>
      </x:c>
      <x:c r="D8" s="263" t="n">
        <x:f>B8-C8</x:f>
        <x:v>0</x:v>
      </x:c>
      <x:c r="E8" s="263" t="n">
        <x:v>0</x:v>
      </x:c>
      <x:c r="F8" s="262" t="str">
        <x:f>IF(ABS(D8)&lt;=E8,"PASS","FAIL")</x:f>
        <x:v>PASS</x:v>
      </x:c>
      <x:c r="G8" s="281" t="str">
        <x:v>Cash &amp; Funding use-of-funds table</x:v>
      </x:c>
    </x:row>
    <x:row r="9">
      <x:c r="A9" s="262" t="str">
        <x:v>Base Year-5 revenue ties to summary</x:v>
      </x:c>
      <x:c r="B9" s="263" t="n">
        <x:f>'Operating Model'!F17</x:f>
        <x:v>687960</x:v>
      </x:c>
      <x:c r="C9" s="263" t="n">
        <x:f>'Scenario Summary'!B7</x:f>
        <x:v>687960</x:v>
      </x:c>
      <x:c r="D9" s="263" t="n">
        <x:f>B9-C9</x:f>
        <x:v>0</x:v>
      </x:c>
      <x:c r="E9" s="263" t="n">
        <x:v>0.01</x:v>
      </x:c>
      <x:c r="F9" s="262" t="str">
        <x:f>IF(ABS(D9)&lt;=E9,"PASS","FAIL")</x:f>
        <x:v>PASS</x:v>
      </x:c>
      <x:c r="G9" s="281" t="str">
        <x:v>Scenario Summary Base row</x:v>
      </x:c>
    </x:row>
    <x:row r="10">
      <x:c r="A10" s="262" t="str">
        <x:v>Base ending cash roll-forward ties</x:v>
      </x:c>
      <x:c r="B10" s="263" t="n">
        <x:f>'Cash &amp; Funding'!F9</x:f>
        <x:v>171556.38</x:v>
      </x:c>
      <x:c r="C10" s="263" t="n">
        <x:f>'Assumptions'!B14+SUM('Operating Model'!B30:F30)</x:f>
        <x:v>171556.38</x:v>
      </x:c>
      <x:c r="D10" s="263" t="n">
        <x:f>B10-C10</x:f>
        <x:v>0</x:v>
      </x:c>
      <x:c r="E10" s="263" t="n">
        <x:v>0.01</x:v>
      </x:c>
      <x:c r="F10" s="262" t="str">
        <x:f>IF(ABS(D10)&lt;=E10,"PASS","FAIL")</x:f>
        <x:v>PASS</x:v>
      </x:c>
      <x:c r="G10" s="281" t="str">
        <x:v>Cash roll-forward</x:v>
      </x:c>
    </x:row>
    <x:row r="11">
      <x:c r="A11" s="262" t="str">
        <x:v>Base contribution is positive every year</x:v>
      </x:c>
      <x:c r="B11" s="263" t="n">
        <x:f>MIN('Operating Model'!B23:F23)</x:f>
        <x:v>30890.9</x:v>
      </x:c>
      <x:c r="C11" s="263" t="n">
        <x:v>0</x:v>
      </x:c>
      <x:c r="D11" s="263" t="n">
        <x:f>B11-C11</x:f>
        <x:v>30890.9</x:v>
      </x:c>
      <x:c r="E11" s="263" t="n">
        <x:v>0</x:v>
      </x:c>
      <x:c r="F11" s="262" t="str">
        <x:f>IF(B11&gt;C11,"PASS","FAIL")</x:f>
        <x:v>PASS</x:v>
      </x:c>
      <x:c r="G11" s="281" t="str">
        <x:v>Base contribution-profit row</x:v>
      </x:c>
    </x:row>
    <x:row r="12">
      <x:c r="A12" s="262" t="str">
        <x:v>Scenario ordering: Upside &gt; Base &gt; Conservative</x:v>
      </x:c>
      <x:c r="B12" s="263" t="n">
        <x:f>'Scenario Summary'!B8-'Scenario Summary'!B7</x:f>
        <x:v>752540</x:v>
      </x:c>
      <x:c r="C12" s="263" t="n">
        <x:f>'Scenario Summary'!B7-'Scenario Summary'!B6</x:f>
        <x:v>385560</x:v>
      </x:c>
      <x:c r="D12" s="263" t="n">
        <x:f>MIN(B12,C12)</x:f>
        <x:v>385560</x:v>
      </x:c>
      <x:c r="E12" s="263" t="n">
        <x:v>0</x:v>
      </x:c>
      <x:c r="F12" s="262" t="str">
        <x:f>IF(D12&gt;0,"PASS","FAIL")</x:f>
        <x:v>PASS</x:v>
      </x:c>
      <x:c r="G12" s="281" t="str">
        <x:v>Year-5 revenue ordering</x:v>
      </x:c>
    </x:row>
    <x:row r="13">
      <x:c r="A13" s="265" t="str">
        <x:v>Base Year-5 EBITDA is formula-driven</x:v>
      </x:c>
      <x:c r="B13" s="266" t="n">
        <x:f>'Operating Model'!F30</x:f>
        <x:v>111670.20000000001</x:v>
      </x:c>
      <x:c r="C13" s="266" t="n">
        <x:f>'Operating Model'!F29-'Operating Model'!F28</x:f>
        <x:v>111670.20000000001</x:v>
      </x:c>
      <x:c r="D13" s="266" t="n">
        <x:f>B13-C13</x:f>
        <x:v>0</x:v>
      </x:c>
      <x:c r="E13" s="266" t="n">
        <x:v>0.01</x:v>
      </x:c>
      <x:c r="F13" s="265" t="str">
        <x:f>IF(ABS(D13)&lt;=E13,"PASS","FAIL")</x:f>
        <x:v>PASS</x:v>
      </x:c>
      <x:c r="G13" s="286" t="str">
        <x:v>Base EBITDA formula</x:v>
      </x:c>
    </x:row>
    <x:row r="14">
      <x:c r="A14" s="262"/>
      <x:c r="B14" s="262"/>
      <x:c r="C14" s="262"/>
      <x:c r="D14" s="262"/>
      <x:c r="E14" s="262"/>
      <x:c r="F14" s="262"/>
      <x:c r="G14" s="262"/>
    </x:row>
    <x:row r="15">
      <x:c r="A15" s="262"/>
      <x:c r="B15" s="262"/>
      <x:c r="C15" s="262"/>
      <x:c r="D15" s="262"/>
      <x:c r="E15" s="262"/>
      <x:c r="F15" s="262"/>
      <x:c r="G15" s="262"/>
    </x:row>
    <x:row r="16">
      <x:c r="A16" s="262"/>
      <x:c r="B16" s="262"/>
      <x:c r="C16" s="262"/>
      <x:c r="D16" s="262"/>
      <x:c r="E16" s="262"/>
      <x:c r="F16" s="262"/>
      <x:c r="G16" s="262"/>
    </x:row>
    <x:row r="17">
      <x:c r="A17" s="262"/>
      <x:c r="B17" s="262"/>
      <x:c r="C17" s="262"/>
      <x:c r="D17" s="262"/>
      <x:c r="E17" s="262"/>
      <x:c r="F17" s="262"/>
      <x:c r="G17" s="262"/>
    </x:row>
    <x:row r="18">
      <x:c r="A18" s="262"/>
      <x:c r="B18" s="262"/>
      <x:c r="C18" s="262"/>
      <x:c r="D18" s="262"/>
      <x:c r="E18" s="262"/>
      <x:c r="F18" s="262"/>
      <x:c r="G18" s="262"/>
    </x:row>
  </x:sheetData>
  <x:mergeCells>
    <x:mergeCell ref="A1:G2"/>
    <x:mergeCell ref="A3:G3"/>
  </x:mergeCells>
  <x:conditionalFormatting sqref="F7:F13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32" hidden="0" customWidth="1"/>
    <x:col min="4" max="4" width="25" hidden="0" customWidth="1"/>
    <x:col min="5" max="5" width="24" hidden="0" customWidth="1"/>
    <x:col min="6" max="6" width="58" hidden="0" customWidth="1"/>
    <x:col min="7" max="7" width="38" hidden="0" customWidth="1"/>
  </x:cols>
  <x:sheetData>
    <x:row r="1" ht="34" customHeight="1">
      <x:c r="A1" s="121" t="str">
        <x:v>SOURCES &amp; AUDIT TRAIL</x:v>
      </x:c>
      <x:c r="B1" s="121"/>
      <x:c r="C1" s="121"/>
      <x:c r="D1" s="121"/>
      <x:c r="E1" s="121"/>
      <x:c r="F1" s="121"/>
      <x:c r="G1" s="121"/>
    </x:row>
    <x:row r="2" ht="34" customHeight="1">
      <x:c r="A2" s="121"/>
      <x:c r="B2" s="121"/>
      <x:c r="C2" s="121"/>
      <x:c r="D2" s="121"/>
      <x:c r="E2" s="121"/>
      <x:c r="F2" s="121"/>
      <x:c r="G2" s="121"/>
    </x:row>
    <x:row r="3">
      <x:c r="A3" s="309" t="str">
        <x:v>Public sources support market context and selected assumptions. Planning assumptions remain estimates until replaced by company-specific evidence.</x:v>
      </x:c>
      <x:c r="B3" s="309"/>
      <x:c r="C3" s="309"/>
      <x:c r="D3" s="309"/>
      <x:c r="E3" s="309"/>
      <x:c r="F3" s="309"/>
      <x:c r="G3" s="309"/>
    </x:row>
    <x:row r="4">
      <x:c r="A4" s="262"/>
      <x:c r="B4" s="262"/>
      <x:c r="C4" s="262"/>
      <x:c r="D4" s="262"/>
      <x:c r="E4" s="262"/>
      <x:c r="F4" s="262"/>
      <x:c r="G4" s="262"/>
    </x:row>
    <x:row r="5" ht="28" customHeight="1">
      <x:c r="A5" s="134" t="str">
        <x:v>ID</x:v>
      </x:c>
      <x:c r="B5" s="135" t="str">
        <x:v>Item</x:v>
      </x:c>
      <x:c r="C5" s="135" t="str">
        <x:v>Value / Claim</x:v>
      </x:c>
      <x:c r="D5" s="135" t="str">
        <x:v>Units / As-of</x:v>
      </x:c>
      <x:c r="E5" s="135" t="str">
        <x:v>Source Type</x:v>
      </x:c>
      <x:c r="F5" s="135" t="str">
        <x:v>Source URL</x:v>
      </x:c>
      <x:c r="G5" s="136" t="str">
        <x:v>Notes</x:v>
      </x:c>
    </x:row>
    <x:row r="6" ht="26.399999618530273" hidden="0" customHeight="1">
      <x:c r="A6" s="262" t="str">
        <x:v>S01</x:v>
      </x:c>
      <x:c r="B6" s="281" t="str">
        <x:v>U.S. Games/Puzzles</x:v>
      </x:c>
      <x:c r="C6" s="311" t="n">
        <x:v>4900000000</x:v>
      </x:c>
      <x:c r="D6" s="281" t="str">
        <x:v>$ retail sales / 2025</x:v>
      </x:c>
      <x:c r="E6" s="281" t="str">
        <x:v>Trade association / Circana</x:v>
      </x:c>
      <x:c r="F6" s="281" t="str">
        <x:v>https://www.toyassociation.org/ta/toys/research-and-data/data/us-sales-data.aspx</x:v>
      </x:c>
      <x:c r="G6" s="281" t="str">
        <x:v>Broad category; includes puzzles, TCGs, mass/licensed products</x:v>
      </x:c>
    </x:row>
    <x:row r="7" ht="26.399999618530273" hidden="0" customHeight="1">
      <x:c r="A7" s="262" t="str">
        <x:v>S02</x:v>
      </x:c>
      <x:c r="B7" s="281" t="str">
        <x:v>2025 Games/Puzzles growth</x:v>
      </x:c>
      <x:c r="C7" s="312" t="n">
        <x:v>0.37</x:v>
      </x:c>
      <x:c r="D7" s="281" t="str">
        <x:v>% YoY / 2025</x:v>
      </x:c>
      <x:c r="E7" s="281" t="str">
        <x:v>Circana</x:v>
      </x:c>
      <x:c r="F7" s="281" t="str">
        <x:v>https://www.circana.com/post/u-s-toy-industry-returns-to-growth-in-2025-circana-reports</x:v>
      </x:c>
      <x:c r="G7" s="281" t="str">
        <x:v>Driven primarily by Pokémon</x:v>
      </x:c>
    </x:row>
    <x:row r="8" ht="15" hidden="0" customHeight="1">
      <x:c r="A8" s="262" t="str">
        <x:v>S03</x:v>
      </x:c>
      <x:c r="B8" s="281" t="str">
        <x:v>U.S./Canada hobby games</x:v>
      </x:c>
      <x:c r="C8" s="311" t="n">
        <x:v>3660000000</x:v>
      </x:c>
      <x:c r="D8" s="281" t="str">
        <x:v>$ / 2025</x:v>
      </x:c>
      <x:c r="E8" s="281" t="str">
        <x:v>ICv2 estimate</x:v>
      </x:c>
      <x:c r="F8" s="281" t="str">
        <x:v>https://icv2.com/articles/markets/view/62035/big-growth-hobby-games-2025</x:v>
      </x:c>
      <x:c r="G8" s="281" t="str">
        <x:v>TCGs roughly two-thirds of dollars</x:v>
      </x:c>
    </x:row>
    <x:row r="9" ht="15" hidden="0" customHeight="1">
      <x:c r="A9" s="262" t="str">
        <x:v>S04</x:v>
      </x:c>
      <x:c r="B9" s="281" t="str">
        <x:v>Kickstarter tabletop pledges</x:v>
      </x:c>
      <x:c r="C9" s="311" t="n">
        <x:v>220000000</x:v>
      </x:c>
      <x:c r="D9" s="281" t="str">
        <x:v>$ successful campaigns / 2024</x:v>
      </x:c>
      <x:c r="E9" s="281" t="str">
        <x:v>Kickstarter</x:v>
      </x:c>
      <x:c r="F9" s="281" t="str">
        <x:v>https://updates.kickstarter.com/kickstarter-biggest-platform-for-games/</x:v>
      </x:c>
      <x:c r="G9" s="281" t="str">
        <x:v>6,646 launches; 5,314 funded</x:v>
      </x:c>
    </x:row>
    <x:row r="10" ht="15" hidden="0" customHeight="1">
      <x:c r="A10" s="262" t="str">
        <x:v>S05</x:v>
      </x:c>
      <x:c r="B10" s="281" t="str">
        <x:v>Kickstarter tabletop success</x:v>
      </x:c>
      <x:c r="C10" s="312" t="n">
        <x:v>0.8</x:v>
      </x:c>
      <x:c r="D10" s="281" t="str">
        <x:v>% projects / 2024</x:v>
      </x:c>
      <x:c r="E10" s="281" t="str">
        <x:v>Kickstarter</x:v>
      </x:c>
      <x:c r="F10" s="281" t="str">
        <x:v>https://updates.kickstarter.com/kickstarter-biggest-platform-for-games/</x:v>
      </x:c>
      <x:c r="G10" s="281" t="str">
        <x:v>Not a Wallaboo probability forecast</x:v>
      </x:c>
    </x:row>
    <x:row r="11" ht="26.399999618530273" hidden="0" customHeight="1">
      <x:c r="A11" s="262" t="str">
        <x:v>S06</x:v>
      </x:c>
      <x:c r="B11" s="281" t="str">
        <x:v>Kickstarter platform fee</x:v>
      </x:c>
      <x:c r="C11" s="281" t="n">
        <x:v>0.05</x:v>
      </x:c>
      <x:c r="D11" s="281" t="str">
        <x:v>% collected funds</x:v>
      </x:c>
      <x:c r="E11" s="281" t="str">
        <x:v>Kickstarter</x:v>
      </x:c>
      <x:c r="F11" s="281" t="str">
        <x:v>https://help.kickstarter.com/hc/en-us/articles/115005028634-What-are-the-fees</x:v>
      </x:c>
      <x:c r="G11" s="281" t="str">
        <x:v>Payment processing separately 3%–5%</x:v>
      </x:c>
    </x:row>
    <x:row r="12" ht="15" hidden="0" customHeight="1">
      <x:c r="A12" s="262" t="str">
        <x:v>S07</x:v>
      </x:c>
      <x:c r="B12" s="281" t="str">
        <x:v>Straightforward board-game cost</x:v>
      </x:c>
      <x:c r="C12" s="281" t="str">
        <x:v>8–15</x:v>
      </x:c>
      <x:c r="D12" s="281" t="str">
        <x:v>$ / unit at 1,500+</x:v>
      </x:c>
      <x:c r="E12" s="281" t="str">
        <x:v>Manufacturer guidance</x:v>
      </x:c>
      <x:c r="F12" s="281" t="str">
        <x:v>https://printninja.com/printing-products/board-game-printing/</x:v>
      </x:c>
      <x:c r="G12" s="281" t="str">
        <x:v>Budgetary range, not a quote</x:v>
      </x:c>
    </x:row>
    <x:row r="13" ht="15" hidden="0" customHeight="1">
      <x:c r="A13" s="262" t="str">
        <x:v>S08</x:v>
      </x:c>
      <x:c r="B13" s="281" t="str">
        <x:v>Sample board game / 1,000</x:v>
      </x:c>
      <x:c r="C13" s="313" t="n">
        <x:v>10.6</x:v>
      </x:c>
      <x:c r="D13" s="281" t="str">
        <x:v>$ / unit / Apr 2026</x:v>
      </x:c>
      <x:c r="E13" s="281" t="str">
        <x:v>Manufacturer sample</x:v>
      </x:c>
      <x:c r="F13" s="281" t="str">
        <x:v>https://printninja.com/sample-pricing/</x:v>
      </x:c>
      <x:c r="G13" s="281" t="str">
        <x:v>Production example</x:v>
      </x:c>
    </x:row>
    <x:row r="14" ht="15" hidden="0" customHeight="1">
      <x:c r="A14" s="262" t="str">
        <x:v>S09</x:v>
      </x:c>
      <x:c r="B14" s="281" t="str">
        <x:v>Sample board game / 500</x:v>
      </x:c>
      <x:c r="C14" s="313" t="n">
        <x:v>14.28</x:v>
      </x:c>
      <x:c r="D14" s="281" t="str">
        <x:v>$ / unit / Apr 2026</x:v>
      </x:c>
      <x:c r="E14" s="281" t="str">
        <x:v>Manufacturer sample</x:v>
      </x:c>
      <x:c r="F14" s="281" t="str">
        <x:v>https://printninja.com/sample-pricing/</x:v>
      </x:c>
      <x:c r="G14" s="281" t="str">
        <x:v>Production example</x:v>
      </x:c>
    </x:row>
    <x:row r="15" ht="15" hidden="0" customHeight="1">
      <x:c r="A15" s="262" t="str">
        <x:v>S10</x:v>
      </x:c>
      <x:c r="B15" s="281" t="str">
        <x:v>Panda minimum run</x:v>
      </x:c>
      <x:c r="C15" s="314" t="n">
        <x:v>1500</x:v>
      </x:c>
      <x:c r="D15" s="281" t="str">
        <x:v>units</x:v>
      </x:c>
      <x:c r="E15" s="281" t="str">
        <x:v>Manufacturer</x:v>
      </x:c>
      <x:c r="F15" s="281" t="str">
        <x:v>https://pandagm.com/our-process/</x:v>
      </x:c>
      <x:c r="G15" s="281" t="str">
        <x:v>Other suppliers may differ</x:v>
      </x:c>
    </x:row>
    <x:row r="16" ht="15" hidden="0" customHeight="1">
      <x:c r="A16" s="262" t="str">
        <x:v>S11</x:v>
      </x:c>
      <x:c r="B16" s="281" t="str">
        <x:v>PrintNinja minimum run</x:v>
      </x:c>
      <x:c r="C16" s="314" t="n">
        <x:v>500</x:v>
      </x:c>
      <x:c r="D16" s="281" t="str">
        <x:v>units</x:v>
      </x:c>
      <x:c r="E16" s="281" t="str">
        <x:v>Manufacturer</x:v>
      </x:c>
      <x:c r="F16" s="281" t="str">
        <x:v>https://printninja.com/game-quote-guide/</x:v>
      </x:c>
      <x:c r="G16" s="281" t="str">
        <x:v>Configuration dependent</x:v>
      </x:c>
    </x:row>
    <x:row r="17" ht="15" hidden="0" customHeight="1">
      <x:c r="A17" s="262" t="str">
        <x:v>S12</x:v>
      </x:c>
      <x:c r="B17" s="281" t="str">
        <x:v>Retail-direct net</x:v>
      </x:c>
      <x:c r="C17" s="312" t="n">
        <x:v>0.5</x:v>
      </x:c>
      <x:c r="D17" s="281" t="str">
        <x:v>% MSRP</x:v>
      </x:c>
      <x:c r="E17" s="281" t="str">
        <x:v>Publisher terms</x:v>
      </x:c>
      <x:c r="F17" s="281" t="str">
        <x:v>https://www.level99games.com/pages/retail</x:v>
      </x:c>
      <x:c r="G17" s="281" t="str">
        <x:v>Public reference; negotiated terms vary</x:v>
      </x:c>
    </x:row>
    <x:row r="18" ht="15" hidden="0" customHeight="1">
      <x:c r="A18" s="262" t="str">
        <x:v>S13</x:v>
      </x:c>
      <x:c r="B18" s="281" t="str">
        <x:v>Distributor net</x:v>
      </x:c>
      <x:c r="C18" s="312" t="n">
        <x:v>0.4</x:v>
      </x:c>
      <x:c r="D18" s="281" t="str">
        <x:v>% MSRP</x:v>
      </x:c>
      <x:c r="E18" s="281" t="str">
        <x:v>Publisher terms</x:v>
      </x:c>
      <x:c r="F18" s="281" t="str">
        <x:v>https://greenfairystudios.com/about/terms-and-conditions/distributor-terms/</x:v>
      </x:c>
      <x:c r="G18" s="281" t="str">
        <x:v>Public reference; negotiated terms vary</x:v>
      </x:c>
    </x:row>
    <x:row r="19" ht="26.399999618530273" hidden="0" customHeight="1">
      <x:c r="A19" s="262" t="str">
        <x:v>S14</x:v>
      </x:c>
      <x:c r="B19" s="281" t="str">
        <x:v>Children's product classification</x:v>
      </x:c>
      <x:c r="C19" s="281" t="str">
        <x:v>Fact-specific</x:v>
      </x:c>
      <x:c r="D19" s="281" t="str">
        <x:v>Current guidance</x:v>
      </x:c>
      <x:c r="E19" s="281" t="str">
        <x:v>CPSC</x:v>
      </x:c>
      <x:c r="F19" s="281" t="str">
        <x:v>https://www.cpsc.gov/Business--Manufacturing/Business-Education/Childrens-Products</x:v>
      </x:c>
      <x:c r="G19" s="281" t="str">
        <x:v>Board games may be general use or children's products</x:v>
      </x:c>
    </x:row>
    <x:row r="20" ht="15" hidden="0" customHeight="1">
      <x:c r="A20" s="262" t="str">
        <x:v>S15</x:v>
      </x:c>
      <x:c r="B20" s="281" t="str">
        <x:v>Toy testing / CPC</x:v>
      </x:c>
      <x:c r="C20" s="281" t="str">
        <x:v>Required for many 12-and-under toys</x:v>
      </x:c>
      <x:c r="D20" s="281" t="str">
        <x:v>Current guidance</x:v>
      </x:c>
      <x:c r="E20" s="281" t="str">
        <x:v>CPSC</x:v>
      </x:c>
      <x:c r="F20" s="281" t="str">
        <x:v>https://www.cpsc.gov/FAQ/Toy-Safety</x:v>
      </x:c>
      <x:c r="G20" s="281" t="str">
        <x:v>Obtain product-specific advice</x:v>
      </x:c>
    </x:row>
    <x:row r="21" ht="15" hidden="0" customHeight="1">
      <x:c r="A21" s="262" t="str">
        <x:v>S16</x:v>
      </x:c>
      <x:c r="B21" s="281" t="str">
        <x:v>Trademark base filing fee</x:v>
      </x:c>
      <x:c r="C21" s="311" t="n">
        <x:v>350</x:v>
      </x:c>
      <x:c r="D21" s="281" t="str">
        <x:v>$ per class</x:v>
      </x:c>
      <x:c r="E21" s="281" t="str">
        <x:v>USPTO</x:v>
      </x:c>
      <x:c r="F21" s="281" t="str">
        <x:v>https://www.uspto.gov/trademarks/basics/how-much-does-it-cost</x:v>
      </x:c>
      <x:c r="G21" s="281" t="str">
        <x:v>Legal and additional fees not included</x:v>
      </x:c>
    </x:row>
    <x:row r="22" ht="15" hidden="0" customHeight="1">
      <x:c r="A22" s="262" t="str">
        <x:v>S17</x:v>
      </x:c>
      <x:c r="B22" s="281" t="str">
        <x:v>Trademark clearance</x:v>
      </x:c>
      <x:c r="C22" s="281" t="str">
        <x:v>Search before filing</x:v>
      </x:c>
      <x:c r="D22" s="281" t="str">
        <x:v>Current guidance</x:v>
      </x:c>
      <x:c r="E22" s="281" t="str">
        <x:v>USPTO</x:v>
      </x:c>
      <x:c r="F22" s="281" t="str">
        <x:v>https://www.uspto.gov/trademarks/basics/why-search-similar-trademarks</x:v>
      </x:c>
      <x:c r="G22" s="281" t="str">
        <x:v>Internet review is not a legal opinion</x:v>
      </x:c>
    </x:row>
    <x:row r="23" ht="26.399999618530273" hidden="0" customHeight="1">
      <x:c r="A23" s="262" t="str">
        <x:v>S18</x:v>
      </x:c>
      <x:c r="B23" s="281" t="str">
        <x:v>WALLABOO third-party brand</x:v>
      </x:c>
      <x:c r="C23" s="281" t="str">
        <x:v>Dutch baby-products brand since 2006</x:v>
      </x:c>
      <x:c r="D23" s="281" t="str">
        <x:v>Observed 2026-07-17</x:v>
      </x:c>
      <x:c r="E23" s="281" t="str">
        <x:v>Company website</x:v>
      </x:c>
      <x:c r="F23" s="281" t="str">
        <x:v>https://www.wallaboo.com/pages/about-us</x:v>
      </x:c>
      <x:c r="G23" s="281" t="str">
        <x:v>Different goods; still requires professional clearance</x:v>
      </x:c>
    </x:row>
    <x:row r="24" ht="39.599998474121094" hidden="0" customHeight="1">
      <x:c r="A24" s="262" t="str">
        <x:v>S19</x:v>
      </x:c>
      <x:c r="B24" s="281" t="str">
        <x:v>Temporary import surcharge</x:v>
      </x:c>
      <x:c r="C24" s="312" t="n">
        <x:v>0.1</x:v>
      </x:c>
      <x:c r="D24" s="281" t="str">
        <x:v>% through 2026-07-24 unless changed</x:v>
      </x:c>
      <x:c r="E24" s="281" t="str">
        <x:v>White House proclamation</x:v>
      </x:c>
      <x:c r="F24" s="281" t="str">
        <x:v>https://www.whitehouse.gov/presidential-actions/2026/02/imposing-a-temporary-import-surcharge-to-address-fundamental-international-payments-problems/</x:v>
      </x:c>
      <x:c r="G24" s="281" t="str">
        <x:v>Recheck at every purchase order</x:v>
      </x:c>
    </x:row>
    <x:row r="25" ht="26.399999618530273" hidden="0" customHeight="1">
      <x:c r="A25" s="265" t="str">
        <x:v>S20</x:v>
      </x:c>
      <x:c r="B25" s="286" t="str">
        <x:v>Source links</x:v>
      </x:c>
      <x:c r="C25" s="286" t="str">
        <x:v>Founders, brand, and concept provenance</x:v>
      </x:c>
      <x:c r="D25" s="286" t="str">
        <x:v>2026-02-14 / recovered 2026-07-17</x:v>
      </x:c>
      <x:c r="E25" s="286" t="str">
        <x:v>User-provided shared sources</x:v>
      </x:c>
      <x:c r="F25" s="286" t="str">
        <x:v>https://chatgpt.com/share/6a5a60d0-26a0-83ea-8007-3f0a196c1e76</x:v>
      </x:c>
      <x:c r="G25" s="286" t="str">
        <x:v>Additional canvas bodies not exposed</x:v>
      </x:c>
    </x:row>
    <x:row r="26">
      <x:c r="A26" s="262"/>
      <x:c r="B26" s="262"/>
      <x:c r="C26" s="262"/>
      <x:c r="D26" s="262"/>
      <x:c r="E26" s="262"/>
      <x:c r="F26" s="262"/>
      <x:c r="G26" s="262"/>
    </x:row>
    <x:row r="27">
      <x:c r="A27" s="262"/>
      <x:c r="B27" s="262"/>
      <x:c r="C27" s="262"/>
      <x:c r="D27" s="262"/>
      <x:c r="E27" s="262"/>
      <x:c r="F27" s="262"/>
      <x:c r="G27" s="262"/>
    </x:row>
    <x:row r="28">
      <x:c r="A28" s="262"/>
      <x:c r="B28" s="262"/>
      <x:c r="C28" s="262"/>
      <x:c r="D28" s="262"/>
      <x:c r="E28" s="262"/>
      <x:c r="F28" s="262"/>
      <x:c r="G28" s="262"/>
    </x:row>
  </x:sheetData>
  <x:mergeCells>
    <x:mergeCell ref="A1:G2"/>
    <x:mergeCell ref="A3:G3"/>
  </x:mergeCells>
  <x:pageMargins left="0.7" right="0.7" top="0.75" bottom="0.75" header="0.3" footer="0.3"/>
</x:worksheet>
</file>